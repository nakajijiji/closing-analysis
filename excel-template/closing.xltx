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kohei.nakaji\Documents\Office のカスタム テンプレート\"/>
    </mc:Choice>
  </mc:AlternateContent>
  <bookViews>
    <workbookView xWindow="0" yWindow="0" windowWidth="19845" windowHeight="6405" activeTab="3"/>
  </bookViews>
  <sheets>
    <sheet name="raw" sheetId="1" r:id="rId1"/>
    <sheet name="total" sheetId="2" r:id="rId2"/>
    <sheet name="profitability" sheetId="3" r:id="rId3"/>
    <sheet name="growth" sheetId="4" r:id="rId4"/>
  </sheets>
  <definedNames>
    <definedName name="_xlnm._FilterDatabase" localSheetId="1" hidden="1">total!$B$1:$B$68</definedName>
    <definedName name="closing" localSheetId="0">raw!$A$1:$AA$9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4" l="1"/>
  <c r="B12" i="4"/>
  <c r="C12" i="4"/>
  <c r="D12" i="4"/>
  <c r="I12" i="4" s="1"/>
  <c r="E12" i="4"/>
  <c r="F12" i="4"/>
  <c r="G12" i="4"/>
  <c r="A13" i="4"/>
  <c r="B13" i="4"/>
  <c r="C13" i="4"/>
  <c r="D13" i="4"/>
  <c r="E13" i="4"/>
  <c r="F13" i="4"/>
  <c r="G13" i="4"/>
  <c r="I13" i="4"/>
  <c r="A14" i="4"/>
  <c r="B14" i="4"/>
  <c r="C14" i="4"/>
  <c r="D14" i="4"/>
  <c r="E14" i="4"/>
  <c r="K14" i="4" s="1"/>
  <c r="F14" i="4"/>
  <c r="G14" i="4"/>
  <c r="A15" i="4"/>
  <c r="B15" i="4"/>
  <c r="C15" i="4"/>
  <c r="D15" i="4"/>
  <c r="I15" i="4" s="1"/>
  <c r="E15" i="4"/>
  <c r="K15" i="4" s="1"/>
  <c r="F15" i="4"/>
  <c r="G15" i="4"/>
  <c r="A16" i="4"/>
  <c r="B16" i="4"/>
  <c r="H16" i="4" s="1"/>
  <c r="C16" i="4"/>
  <c r="D16" i="4"/>
  <c r="I16" i="4" s="1"/>
  <c r="E16" i="4"/>
  <c r="K16" i="4" s="1"/>
  <c r="F16" i="4"/>
  <c r="G16" i="4"/>
  <c r="A17" i="4"/>
  <c r="B17" i="4"/>
  <c r="C17" i="4"/>
  <c r="D17" i="4"/>
  <c r="E17" i="4"/>
  <c r="K17" i="4" s="1"/>
  <c r="F17" i="4"/>
  <c r="G17" i="4"/>
  <c r="A18" i="4"/>
  <c r="B18" i="4"/>
  <c r="H18" i="4" s="1"/>
  <c r="C18" i="4"/>
  <c r="D18" i="4"/>
  <c r="E18" i="4"/>
  <c r="F18" i="4"/>
  <c r="G18" i="4"/>
  <c r="A19" i="4"/>
  <c r="B19" i="4"/>
  <c r="C19" i="4"/>
  <c r="D19" i="4"/>
  <c r="E19" i="4"/>
  <c r="F19" i="4"/>
  <c r="G19" i="4"/>
  <c r="A20" i="4"/>
  <c r="B20" i="4"/>
  <c r="C20" i="4"/>
  <c r="D20" i="4"/>
  <c r="E20" i="4"/>
  <c r="F20" i="4"/>
  <c r="G20" i="4"/>
  <c r="A21" i="4"/>
  <c r="B21" i="4"/>
  <c r="C21" i="4"/>
  <c r="D21" i="4"/>
  <c r="E21" i="4"/>
  <c r="F21" i="4"/>
  <c r="G21" i="4"/>
  <c r="A22" i="4"/>
  <c r="B22" i="4"/>
  <c r="C22" i="4"/>
  <c r="D22" i="4"/>
  <c r="E22" i="4"/>
  <c r="F22" i="4"/>
  <c r="G22" i="4"/>
  <c r="A23" i="4"/>
  <c r="B23" i="4"/>
  <c r="C23" i="4"/>
  <c r="D23" i="4"/>
  <c r="E23" i="4"/>
  <c r="F23" i="4"/>
  <c r="G23" i="4"/>
  <c r="A24" i="4"/>
  <c r="B24" i="4"/>
  <c r="C24" i="4"/>
  <c r="D24" i="4"/>
  <c r="E24" i="4"/>
  <c r="F24" i="4"/>
  <c r="G24" i="4"/>
  <c r="A25" i="4"/>
  <c r="B25" i="4"/>
  <c r="C25" i="4"/>
  <c r="D25" i="4"/>
  <c r="E25" i="4"/>
  <c r="F25" i="4"/>
  <c r="G25" i="4"/>
  <c r="A26" i="4"/>
  <c r="B26" i="4"/>
  <c r="C26" i="4"/>
  <c r="D26" i="4"/>
  <c r="E26" i="4"/>
  <c r="F26" i="4"/>
  <c r="G26" i="4"/>
  <c r="A27" i="4"/>
  <c r="B27" i="4"/>
  <c r="C27" i="4"/>
  <c r="D27" i="4"/>
  <c r="E27" i="4"/>
  <c r="F27" i="4"/>
  <c r="G27" i="4"/>
  <c r="A28" i="4"/>
  <c r="B28" i="4"/>
  <c r="C28" i="4"/>
  <c r="D28" i="4"/>
  <c r="E28" i="4"/>
  <c r="F28" i="4"/>
  <c r="G28" i="4"/>
  <c r="A29" i="4"/>
  <c r="B29" i="4"/>
  <c r="C29" i="4"/>
  <c r="D29" i="4"/>
  <c r="E29" i="4"/>
  <c r="F29" i="4"/>
  <c r="G29" i="4"/>
  <c r="A30" i="4"/>
  <c r="B30" i="4"/>
  <c r="H30" i="4" s="1"/>
  <c r="C30" i="4"/>
  <c r="D30" i="4"/>
  <c r="E30" i="4"/>
  <c r="F30" i="4"/>
  <c r="G30" i="4"/>
  <c r="A31" i="4"/>
  <c r="B31" i="4"/>
  <c r="C31" i="4"/>
  <c r="D31" i="4"/>
  <c r="E31" i="4"/>
  <c r="F31" i="4"/>
  <c r="G31" i="4"/>
  <c r="A32" i="4"/>
  <c r="B32" i="4"/>
  <c r="C32" i="4"/>
  <c r="D32" i="4"/>
  <c r="E32" i="4"/>
  <c r="F32" i="4"/>
  <c r="G32" i="4"/>
  <c r="A33" i="4"/>
  <c r="B33" i="4"/>
  <c r="C33" i="4"/>
  <c r="D33" i="4"/>
  <c r="E33" i="4"/>
  <c r="F33" i="4"/>
  <c r="G33" i="4"/>
  <c r="A34" i="4"/>
  <c r="B34" i="4"/>
  <c r="C34" i="4"/>
  <c r="D34" i="4"/>
  <c r="E34" i="4"/>
  <c r="F34" i="4"/>
  <c r="G34" i="4"/>
  <c r="A35" i="4"/>
  <c r="B35" i="4"/>
  <c r="H35" i="4" s="1"/>
  <c r="C35" i="4"/>
  <c r="J35" i="4" s="1"/>
  <c r="D35" i="4"/>
  <c r="I35" i="4" s="1"/>
  <c r="E35" i="4"/>
  <c r="K35" i="4" s="1"/>
  <c r="F35" i="4"/>
  <c r="G35" i="4"/>
  <c r="A36" i="4"/>
  <c r="B36" i="4"/>
  <c r="H36" i="4" s="1"/>
  <c r="C36" i="4"/>
  <c r="J36" i="4" s="1"/>
  <c r="D36" i="4"/>
  <c r="E36" i="4"/>
  <c r="K36" i="4" s="1"/>
  <c r="F36" i="4"/>
  <c r="G36" i="4"/>
  <c r="I36" i="4"/>
  <c r="A37" i="4"/>
  <c r="B37" i="4"/>
  <c r="H37" i="4" s="1"/>
  <c r="C37" i="4"/>
  <c r="J37" i="4" s="1"/>
  <c r="D37" i="4"/>
  <c r="I37" i="4" s="1"/>
  <c r="E37" i="4"/>
  <c r="K37" i="4" s="1"/>
  <c r="F37" i="4"/>
  <c r="G37" i="4"/>
  <c r="A38" i="4"/>
  <c r="B38" i="4"/>
  <c r="H38" i="4" s="1"/>
  <c r="C38" i="4"/>
  <c r="J38" i="4" s="1"/>
  <c r="D38" i="4"/>
  <c r="I38" i="4" s="1"/>
  <c r="E38" i="4"/>
  <c r="K38" i="4" s="1"/>
  <c r="F38" i="4"/>
  <c r="G38" i="4"/>
  <c r="A39" i="4"/>
  <c r="B39" i="4"/>
  <c r="H39" i="4" s="1"/>
  <c r="C39" i="4"/>
  <c r="J39" i="4" s="1"/>
  <c r="D39" i="4"/>
  <c r="I39" i="4" s="1"/>
  <c r="E39" i="4"/>
  <c r="K39" i="4" s="1"/>
  <c r="F39" i="4"/>
  <c r="G39" i="4"/>
  <c r="A40" i="4"/>
  <c r="B40" i="4"/>
  <c r="H40" i="4" s="1"/>
  <c r="C40" i="4"/>
  <c r="J40" i="4" s="1"/>
  <c r="D40" i="4"/>
  <c r="I40" i="4" s="1"/>
  <c r="E40" i="4"/>
  <c r="K40" i="4" s="1"/>
  <c r="F40" i="4"/>
  <c r="G40" i="4"/>
  <c r="A41" i="4"/>
  <c r="B41" i="4"/>
  <c r="H41" i="4" s="1"/>
  <c r="C41" i="4"/>
  <c r="J41" i="4" s="1"/>
  <c r="D41" i="4"/>
  <c r="E41" i="4"/>
  <c r="K41" i="4" s="1"/>
  <c r="F41" i="4"/>
  <c r="G41" i="4"/>
  <c r="I41" i="4"/>
  <c r="A42" i="4"/>
  <c r="B42" i="4"/>
  <c r="H42" i="4" s="1"/>
  <c r="C42" i="4"/>
  <c r="J42" i="4" s="1"/>
  <c r="D42" i="4"/>
  <c r="I42" i="4" s="1"/>
  <c r="E42" i="4"/>
  <c r="K42" i="4" s="1"/>
  <c r="F42" i="4"/>
  <c r="G42" i="4"/>
  <c r="A43" i="4"/>
  <c r="B43" i="4"/>
  <c r="H43" i="4" s="1"/>
  <c r="C43" i="4"/>
  <c r="J43" i="4" s="1"/>
  <c r="D43" i="4"/>
  <c r="I43" i="4" s="1"/>
  <c r="E43" i="4"/>
  <c r="K43" i="4" s="1"/>
  <c r="F43" i="4"/>
  <c r="G43" i="4"/>
  <c r="A44" i="4"/>
  <c r="B44" i="4"/>
  <c r="H44" i="4" s="1"/>
  <c r="C44" i="4"/>
  <c r="J44" i="4" s="1"/>
  <c r="D44" i="4"/>
  <c r="I44" i="4" s="1"/>
  <c r="E44" i="4"/>
  <c r="K44" i="4" s="1"/>
  <c r="F44" i="4"/>
  <c r="G44" i="4"/>
  <c r="A45" i="4"/>
  <c r="B45" i="4"/>
  <c r="H45" i="4" s="1"/>
  <c r="C45" i="4"/>
  <c r="J45" i="4" s="1"/>
  <c r="D45" i="4"/>
  <c r="I45" i="4" s="1"/>
  <c r="E45" i="4"/>
  <c r="K45" i="4" s="1"/>
  <c r="F45" i="4"/>
  <c r="G45" i="4"/>
  <c r="A46" i="4"/>
  <c r="B46" i="4"/>
  <c r="H46" i="4" s="1"/>
  <c r="C46" i="4"/>
  <c r="J46" i="4" s="1"/>
  <c r="D46" i="4"/>
  <c r="I46" i="4" s="1"/>
  <c r="E46" i="4"/>
  <c r="K46" i="4" s="1"/>
  <c r="F46" i="4"/>
  <c r="G46" i="4"/>
  <c r="A47" i="4"/>
  <c r="B47" i="4"/>
  <c r="H47" i="4" s="1"/>
  <c r="C47" i="4"/>
  <c r="J47" i="4" s="1"/>
  <c r="D47" i="4"/>
  <c r="I47" i="4" s="1"/>
  <c r="E47" i="4"/>
  <c r="K47" i="4" s="1"/>
  <c r="F47" i="4"/>
  <c r="G47" i="4"/>
  <c r="A48" i="4"/>
  <c r="B48" i="4"/>
  <c r="H48" i="4" s="1"/>
  <c r="C48" i="4"/>
  <c r="J48" i="4" s="1"/>
  <c r="D48" i="4"/>
  <c r="I48" i="4" s="1"/>
  <c r="E48" i="4"/>
  <c r="K48" i="4" s="1"/>
  <c r="F48" i="4"/>
  <c r="G48" i="4"/>
  <c r="A49" i="4"/>
  <c r="B49" i="4"/>
  <c r="H49" i="4" s="1"/>
  <c r="C49" i="4"/>
  <c r="J49" i="4" s="1"/>
  <c r="D49" i="4"/>
  <c r="I49" i="4" s="1"/>
  <c r="E49" i="4"/>
  <c r="K49" i="4" s="1"/>
  <c r="F49" i="4"/>
  <c r="G49" i="4"/>
  <c r="A50" i="4"/>
  <c r="B50" i="4"/>
  <c r="H50" i="4" s="1"/>
  <c r="C50" i="4"/>
  <c r="J50" i="4" s="1"/>
  <c r="D50" i="4"/>
  <c r="I50" i="4" s="1"/>
  <c r="E50" i="4"/>
  <c r="K50" i="4" s="1"/>
  <c r="F50" i="4"/>
  <c r="G50" i="4"/>
  <c r="A51" i="4"/>
  <c r="B51" i="4"/>
  <c r="H51" i="4" s="1"/>
  <c r="C51" i="4"/>
  <c r="J51" i="4" s="1"/>
  <c r="D51" i="4"/>
  <c r="I51" i="4" s="1"/>
  <c r="E51" i="4"/>
  <c r="K51" i="4" s="1"/>
  <c r="F51" i="4"/>
  <c r="G51" i="4"/>
  <c r="A52" i="4"/>
  <c r="B52" i="4"/>
  <c r="H52" i="4" s="1"/>
  <c r="C52" i="4"/>
  <c r="J52" i="4" s="1"/>
  <c r="D52" i="4"/>
  <c r="I52" i="4" s="1"/>
  <c r="E52" i="4"/>
  <c r="K52" i="4" s="1"/>
  <c r="F52" i="4"/>
  <c r="G52" i="4"/>
  <c r="A53" i="4"/>
  <c r="B53" i="4"/>
  <c r="H53" i="4" s="1"/>
  <c r="C53" i="4"/>
  <c r="J53" i="4" s="1"/>
  <c r="D53" i="4"/>
  <c r="I53" i="4" s="1"/>
  <c r="E53" i="4"/>
  <c r="K53" i="4" s="1"/>
  <c r="F53" i="4"/>
  <c r="G53" i="4"/>
  <c r="A54" i="4"/>
  <c r="B54" i="4"/>
  <c r="H54" i="4" s="1"/>
  <c r="C54" i="4"/>
  <c r="J54" i="4" s="1"/>
  <c r="D54" i="4"/>
  <c r="I54" i="4" s="1"/>
  <c r="E54" i="4"/>
  <c r="K54" i="4" s="1"/>
  <c r="F54" i="4"/>
  <c r="G54" i="4"/>
  <c r="A55" i="4"/>
  <c r="B55" i="4"/>
  <c r="H55" i="4" s="1"/>
  <c r="C55" i="4"/>
  <c r="J55" i="4" s="1"/>
  <c r="D55" i="4"/>
  <c r="I55" i="4" s="1"/>
  <c r="E55" i="4"/>
  <c r="K55" i="4" s="1"/>
  <c r="F55" i="4"/>
  <c r="G55" i="4"/>
  <c r="A56" i="4"/>
  <c r="B56" i="4"/>
  <c r="H56" i="4" s="1"/>
  <c r="C56" i="4"/>
  <c r="J56" i="4" s="1"/>
  <c r="D56" i="4"/>
  <c r="I56" i="4" s="1"/>
  <c r="E56" i="4"/>
  <c r="K56" i="4" s="1"/>
  <c r="F56" i="4"/>
  <c r="G56" i="4"/>
  <c r="A57" i="4"/>
  <c r="B57" i="4"/>
  <c r="H57" i="4" s="1"/>
  <c r="C57" i="4"/>
  <c r="J57" i="4" s="1"/>
  <c r="D57" i="4"/>
  <c r="I57" i="4" s="1"/>
  <c r="E57" i="4"/>
  <c r="K57" i="4" s="1"/>
  <c r="F57" i="4"/>
  <c r="G57" i="4"/>
  <c r="A58" i="4"/>
  <c r="B58" i="4"/>
  <c r="H58" i="4" s="1"/>
  <c r="C58" i="4"/>
  <c r="J58" i="4" s="1"/>
  <c r="D58" i="4"/>
  <c r="I58" i="4" s="1"/>
  <c r="E58" i="4"/>
  <c r="F58" i="4"/>
  <c r="G58" i="4"/>
  <c r="K58" i="4"/>
  <c r="A59" i="4"/>
  <c r="B59" i="4"/>
  <c r="H59" i="4" s="1"/>
  <c r="C59" i="4"/>
  <c r="J59" i="4" s="1"/>
  <c r="D59" i="4"/>
  <c r="E59" i="4"/>
  <c r="K59" i="4" s="1"/>
  <c r="F59" i="4"/>
  <c r="G59" i="4"/>
  <c r="I59" i="4"/>
  <c r="A60" i="4"/>
  <c r="B60" i="4"/>
  <c r="H60" i="4" s="1"/>
  <c r="C60" i="4"/>
  <c r="J60" i="4" s="1"/>
  <c r="D60" i="4"/>
  <c r="I60" i="4" s="1"/>
  <c r="E60" i="4"/>
  <c r="K60" i="4" s="1"/>
  <c r="F60" i="4"/>
  <c r="G60" i="4"/>
  <c r="A61" i="4"/>
  <c r="B61" i="4"/>
  <c r="H61" i="4" s="1"/>
  <c r="C61" i="4"/>
  <c r="J61" i="4" s="1"/>
  <c r="D61" i="4"/>
  <c r="I61" i="4" s="1"/>
  <c r="E61" i="4"/>
  <c r="K61" i="4" s="1"/>
  <c r="F61" i="4"/>
  <c r="G61" i="4"/>
  <c r="A62" i="4"/>
  <c r="B62" i="4"/>
  <c r="H62" i="4" s="1"/>
  <c r="C62" i="4"/>
  <c r="J62" i="4" s="1"/>
  <c r="D62" i="4"/>
  <c r="I62" i="4" s="1"/>
  <c r="E62" i="4"/>
  <c r="K62" i="4" s="1"/>
  <c r="F62" i="4"/>
  <c r="G62" i="4"/>
  <c r="A63" i="4"/>
  <c r="B63" i="4"/>
  <c r="H63" i="4" s="1"/>
  <c r="C63" i="4"/>
  <c r="J63" i="4" s="1"/>
  <c r="D63" i="4"/>
  <c r="I63" i="4" s="1"/>
  <c r="E63" i="4"/>
  <c r="K63" i="4" s="1"/>
  <c r="F63" i="4"/>
  <c r="G63" i="4"/>
  <c r="A64" i="4"/>
  <c r="B64" i="4"/>
  <c r="H64" i="4" s="1"/>
  <c r="C64" i="4"/>
  <c r="J64" i="4" s="1"/>
  <c r="D64" i="4"/>
  <c r="I64" i="4" s="1"/>
  <c r="E64" i="4"/>
  <c r="K64" i="4" s="1"/>
  <c r="F64" i="4"/>
  <c r="G64" i="4"/>
  <c r="A65" i="4"/>
  <c r="B65" i="4"/>
  <c r="H65" i="4" s="1"/>
  <c r="C65" i="4"/>
  <c r="J65" i="4" s="1"/>
  <c r="D65" i="4"/>
  <c r="I65" i="4" s="1"/>
  <c r="E65" i="4"/>
  <c r="K65" i="4" s="1"/>
  <c r="F65" i="4"/>
  <c r="G65" i="4"/>
  <c r="A66" i="4"/>
  <c r="B66" i="4"/>
  <c r="H66" i="4" s="1"/>
  <c r="C66" i="4"/>
  <c r="J66" i="4" s="1"/>
  <c r="D66" i="4"/>
  <c r="I66" i="4" s="1"/>
  <c r="E66" i="4"/>
  <c r="K66" i="4" s="1"/>
  <c r="F66" i="4"/>
  <c r="G66" i="4"/>
  <c r="A67" i="4"/>
  <c r="B67" i="4"/>
  <c r="H67" i="4" s="1"/>
  <c r="C67" i="4"/>
  <c r="J67" i="4" s="1"/>
  <c r="D67" i="4"/>
  <c r="E67" i="4"/>
  <c r="K67" i="4" s="1"/>
  <c r="F67" i="4"/>
  <c r="G67" i="4"/>
  <c r="I67" i="4"/>
  <c r="A68" i="4"/>
  <c r="B68" i="4"/>
  <c r="H68" i="4" s="1"/>
  <c r="C68" i="4"/>
  <c r="J68" i="4" s="1"/>
  <c r="D68" i="4"/>
  <c r="E68" i="4"/>
  <c r="K68" i="4" s="1"/>
  <c r="F68" i="4"/>
  <c r="G68" i="4"/>
  <c r="I68" i="4"/>
  <c r="A69" i="4"/>
  <c r="B69" i="4"/>
  <c r="H69" i="4" s="1"/>
  <c r="C69" i="4"/>
  <c r="J69" i="4" s="1"/>
  <c r="D69" i="4"/>
  <c r="E69" i="4"/>
  <c r="F69" i="4"/>
  <c r="G69" i="4"/>
  <c r="I69" i="4"/>
  <c r="K69" i="4"/>
  <c r="A70" i="4"/>
  <c r="B70" i="4"/>
  <c r="H70" i="4" s="1"/>
  <c r="C70" i="4"/>
  <c r="J70" i="4" s="1"/>
  <c r="D70" i="4"/>
  <c r="I70" i="4" s="1"/>
  <c r="E70" i="4"/>
  <c r="K70" i="4" s="1"/>
  <c r="F70" i="4"/>
  <c r="G70" i="4"/>
  <c r="A71" i="4"/>
  <c r="B71" i="4"/>
  <c r="H71" i="4" s="1"/>
  <c r="C71" i="4"/>
  <c r="J71" i="4" s="1"/>
  <c r="D71" i="4"/>
  <c r="I71" i="4" s="1"/>
  <c r="E71" i="4"/>
  <c r="K71" i="4" s="1"/>
  <c r="F71" i="4"/>
  <c r="G71" i="4"/>
  <c r="A72" i="4"/>
  <c r="B72" i="4"/>
  <c r="H72" i="4" s="1"/>
  <c r="C72" i="4"/>
  <c r="J72" i="4" s="1"/>
  <c r="D72" i="4"/>
  <c r="E72" i="4"/>
  <c r="K72" i="4" s="1"/>
  <c r="F72" i="4"/>
  <c r="G72" i="4"/>
  <c r="I72" i="4"/>
  <c r="A73" i="4"/>
  <c r="B73" i="4"/>
  <c r="H73" i="4" s="1"/>
  <c r="C73" i="4"/>
  <c r="J73" i="4" s="1"/>
  <c r="D73" i="4"/>
  <c r="I73" i="4" s="1"/>
  <c r="E73" i="4"/>
  <c r="K73" i="4" s="1"/>
  <c r="F73" i="4"/>
  <c r="G73" i="4"/>
  <c r="A74" i="4"/>
  <c r="B74" i="4"/>
  <c r="H74" i="4" s="1"/>
  <c r="C74" i="4"/>
  <c r="J74" i="4" s="1"/>
  <c r="D74" i="4"/>
  <c r="I74" i="4" s="1"/>
  <c r="E74" i="4"/>
  <c r="K74" i="4" s="1"/>
  <c r="F74" i="4"/>
  <c r="G74" i="4"/>
  <c r="A75" i="4"/>
  <c r="B75" i="4"/>
  <c r="H75" i="4" s="1"/>
  <c r="C75" i="4"/>
  <c r="J75" i="4" s="1"/>
  <c r="D75" i="4"/>
  <c r="I75" i="4" s="1"/>
  <c r="E75" i="4"/>
  <c r="K75" i="4" s="1"/>
  <c r="F75" i="4"/>
  <c r="G75" i="4"/>
  <c r="A76" i="4"/>
  <c r="B76" i="4"/>
  <c r="H76" i="4" s="1"/>
  <c r="C76" i="4"/>
  <c r="J76" i="4" s="1"/>
  <c r="D76" i="4"/>
  <c r="I76" i="4" s="1"/>
  <c r="E76" i="4"/>
  <c r="K76" i="4" s="1"/>
  <c r="F76" i="4"/>
  <c r="G76" i="4"/>
  <c r="A77" i="4"/>
  <c r="B77" i="4"/>
  <c r="H77" i="4" s="1"/>
  <c r="C77" i="4"/>
  <c r="J77" i="4" s="1"/>
  <c r="D77" i="4"/>
  <c r="E77" i="4"/>
  <c r="K77" i="4" s="1"/>
  <c r="F77" i="4"/>
  <c r="G77" i="4"/>
  <c r="I77" i="4"/>
  <c r="A78" i="4"/>
  <c r="B78" i="4"/>
  <c r="H78" i="4" s="1"/>
  <c r="C78" i="4"/>
  <c r="J78" i="4" s="1"/>
  <c r="D78" i="4"/>
  <c r="I78" i="4" s="1"/>
  <c r="E78" i="4"/>
  <c r="K78" i="4" s="1"/>
  <c r="F78" i="4"/>
  <c r="G78" i="4"/>
  <c r="A79" i="4"/>
  <c r="B79" i="4"/>
  <c r="H79" i="4" s="1"/>
  <c r="C79" i="4"/>
  <c r="J79" i="4" s="1"/>
  <c r="D79" i="4"/>
  <c r="I79" i="4" s="1"/>
  <c r="E79" i="4"/>
  <c r="K79" i="4" s="1"/>
  <c r="F79" i="4"/>
  <c r="G79" i="4"/>
  <c r="A80" i="4"/>
  <c r="B80" i="4"/>
  <c r="H80" i="4" s="1"/>
  <c r="C80" i="4"/>
  <c r="J80" i="4" s="1"/>
  <c r="D80" i="4"/>
  <c r="I80" i="4" s="1"/>
  <c r="E80" i="4"/>
  <c r="K80" i="4" s="1"/>
  <c r="F80" i="4"/>
  <c r="G80" i="4"/>
  <c r="A81" i="4"/>
  <c r="B81" i="4"/>
  <c r="H81" i="4" s="1"/>
  <c r="C81" i="4"/>
  <c r="J81" i="4" s="1"/>
  <c r="D81" i="4"/>
  <c r="E81" i="4"/>
  <c r="F81" i="4"/>
  <c r="G81" i="4"/>
  <c r="I81" i="4"/>
  <c r="K81" i="4"/>
  <c r="A82" i="4"/>
  <c r="B82" i="4"/>
  <c r="H82" i="4" s="1"/>
  <c r="C82" i="4"/>
  <c r="J82" i="4" s="1"/>
  <c r="D82" i="4"/>
  <c r="I82" i="4" s="1"/>
  <c r="E82" i="4"/>
  <c r="K82" i="4" s="1"/>
  <c r="F82" i="4"/>
  <c r="G82" i="4"/>
  <c r="A83" i="4"/>
  <c r="B83" i="4"/>
  <c r="H83" i="4" s="1"/>
  <c r="C83" i="4"/>
  <c r="J83" i="4" s="1"/>
  <c r="D83" i="4"/>
  <c r="I83" i="4" s="1"/>
  <c r="E83" i="4"/>
  <c r="K83" i="4" s="1"/>
  <c r="F83" i="4"/>
  <c r="G83" i="4"/>
  <c r="A84" i="4"/>
  <c r="B84" i="4"/>
  <c r="H84" i="4" s="1"/>
  <c r="C84" i="4"/>
  <c r="J84" i="4" s="1"/>
  <c r="D84" i="4"/>
  <c r="I84" i="4" s="1"/>
  <c r="E84" i="4"/>
  <c r="K84" i="4" s="1"/>
  <c r="F84" i="4"/>
  <c r="G84" i="4"/>
  <c r="A85" i="4"/>
  <c r="B85" i="4"/>
  <c r="H85" i="4" s="1"/>
  <c r="C85" i="4"/>
  <c r="J85" i="4" s="1"/>
  <c r="D85" i="4"/>
  <c r="I85" i="4" s="1"/>
  <c r="E85" i="4"/>
  <c r="K85" i="4" s="1"/>
  <c r="F85" i="4"/>
  <c r="G85" i="4"/>
  <c r="A86" i="4"/>
  <c r="B86" i="4"/>
  <c r="H86" i="4" s="1"/>
  <c r="C86" i="4"/>
  <c r="J86" i="4" s="1"/>
  <c r="D86" i="4"/>
  <c r="I86" i="4" s="1"/>
  <c r="E86" i="4"/>
  <c r="K86" i="4" s="1"/>
  <c r="F86" i="4"/>
  <c r="G86" i="4"/>
  <c r="A87" i="4"/>
  <c r="B87" i="4"/>
  <c r="H87" i="4" s="1"/>
  <c r="C87" i="4"/>
  <c r="J87" i="4" s="1"/>
  <c r="D87" i="4"/>
  <c r="I87" i="4" s="1"/>
  <c r="E87" i="4"/>
  <c r="K87" i="4" s="1"/>
  <c r="F87" i="4"/>
  <c r="G87" i="4"/>
  <c r="A88" i="4"/>
  <c r="B88" i="4"/>
  <c r="H88" i="4" s="1"/>
  <c r="C88" i="4"/>
  <c r="J88" i="4" s="1"/>
  <c r="D88" i="4"/>
  <c r="I88" i="4" s="1"/>
  <c r="E88" i="4"/>
  <c r="K88" i="4" s="1"/>
  <c r="F88" i="4"/>
  <c r="G88" i="4"/>
  <c r="A89" i="4"/>
  <c r="B89" i="4"/>
  <c r="H89" i="4" s="1"/>
  <c r="C89" i="4"/>
  <c r="J89" i="4" s="1"/>
  <c r="D89" i="4"/>
  <c r="I89" i="4" s="1"/>
  <c r="E89" i="4"/>
  <c r="F89" i="4"/>
  <c r="G89" i="4"/>
  <c r="K89" i="4"/>
  <c r="A90" i="4"/>
  <c r="B90" i="4"/>
  <c r="H90" i="4" s="1"/>
  <c r="C90" i="4"/>
  <c r="J90" i="4" s="1"/>
  <c r="D90" i="4"/>
  <c r="I90" i="4" s="1"/>
  <c r="E90" i="4"/>
  <c r="K90" i="4" s="1"/>
  <c r="F90" i="4"/>
  <c r="G90" i="4"/>
  <c r="A91" i="4"/>
  <c r="B91" i="4"/>
  <c r="H91" i="4" s="1"/>
  <c r="C91" i="4"/>
  <c r="J91" i="4" s="1"/>
  <c r="D91" i="4"/>
  <c r="I91" i="4" s="1"/>
  <c r="E91" i="4"/>
  <c r="K91" i="4" s="1"/>
  <c r="F91" i="4"/>
  <c r="G91" i="4"/>
  <c r="A92" i="4"/>
  <c r="B92" i="4"/>
  <c r="H92" i="4" s="1"/>
  <c r="C92" i="4"/>
  <c r="J92" i="4" s="1"/>
  <c r="D92" i="4"/>
  <c r="I92" i="4" s="1"/>
  <c r="E92" i="4"/>
  <c r="K92" i="4" s="1"/>
  <c r="F92" i="4"/>
  <c r="G92" i="4"/>
  <c r="A93" i="4"/>
  <c r="B93" i="4"/>
  <c r="H93" i="4" s="1"/>
  <c r="C93" i="4"/>
  <c r="J93" i="4" s="1"/>
  <c r="D93" i="4"/>
  <c r="E93" i="4"/>
  <c r="K93" i="4" s="1"/>
  <c r="F93" i="4"/>
  <c r="G93" i="4"/>
  <c r="I93" i="4"/>
  <c r="A94" i="4"/>
  <c r="B94" i="4"/>
  <c r="H94" i="4" s="1"/>
  <c r="C94" i="4"/>
  <c r="J94" i="4" s="1"/>
  <c r="D94" i="4"/>
  <c r="I94" i="4" s="1"/>
  <c r="E94" i="4"/>
  <c r="K94" i="4" s="1"/>
  <c r="F94" i="4"/>
  <c r="G94" i="4"/>
  <c r="A95" i="4"/>
  <c r="B95" i="4"/>
  <c r="H95" i="4" s="1"/>
  <c r="C95" i="4"/>
  <c r="J95" i="4" s="1"/>
  <c r="D95" i="4"/>
  <c r="I95" i="4" s="1"/>
  <c r="E95" i="4"/>
  <c r="K95" i="4" s="1"/>
  <c r="F95" i="4"/>
  <c r="G95" i="4"/>
  <c r="A96" i="4"/>
  <c r="B96" i="4"/>
  <c r="H96" i="4" s="1"/>
  <c r="C96" i="4"/>
  <c r="J96" i="4" s="1"/>
  <c r="D96" i="4"/>
  <c r="I96" i="4" s="1"/>
  <c r="E96" i="4"/>
  <c r="K96" i="4" s="1"/>
  <c r="F96" i="4"/>
  <c r="G96" i="4"/>
  <c r="A97" i="4"/>
  <c r="B97" i="4"/>
  <c r="H97" i="4" s="1"/>
  <c r="C97" i="4"/>
  <c r="J97" i="4" s="1"/>
  <c r="D97" i="4"/>
  <c r="I97" i="4" s="1"/>
  <c r="E97" i="4"/>
  <c r="K97" i="4" s="1"/>
  <c r="F97" i="4"/>
  <c r="G97" i="4"/>
  <c r="A98" i="4"/>
  <c r="B98" i="4"/>
  <c r="H98" i="4" s="1"/>
  <c r="C98" i="4"/>
  <c r="J98" i="4" s="1"/>
  <c r="D98" i="4"/>
  <c r="I98" i="4" s="1"/>
  <c r="E98" i="4"/>
  <c r="K98" i="4" s="1"/>
  <c r="F98" i="4"/>
  <c r="G98" i="4"/>
  <c r="A99" i="4"/>
  <c r="B99" i="4"/>
  <c r="H99" i="4" s="1"/>
  <c r="C99" i="4"/>
  <c r="J99" i="4" s="1"/>
  <c r="D99" i="4"/>
  <c r="I99" i="4" s="1"/>
  <c r="E99" i="4"/>
  <c r="K99" i="4" s="1"/>
  <c r="F99" i="4"/>
  <c r="G99" i="4"/>
  <c r="A100" i="4"/>
  <c r="B100" i="4"/>
  <c r="H100" i="4" s="1"/>
  <c r="C100" i="4"/>
  <c r="J100" i="4" s="1"/>
  <c r="D100" i="4"/>
  <c r="E100" i="4"/>
  <c r="K100" i="4" s="1"/>
  <c r="F100" i="4"/>
  <c r="G100" i="4"/>
  <c r="I100" i="4"/>
  <c r="A101" i="4"/>
  <c r="B101" i="4"/>
  <c r="H101" i="4" s="1"/>
  <c r="C101" i="4"/>
  <c r="J101" i="4" s="1"/>
  <c r="D101" i="4"/>
  <c r="I101" i="4" s="1"/>
  <c r="E101" i="4"/>
  <c r="K101" i="4" s="1"/>
  <c r="F101" i="4"/>
  <c r="G101" i="4"/>
  <c r="A102" i="4"/>
  <c r="B102" i="4"/>
  <c r="H102" i="4" s="1"/>
  <c r="C102" i="4"/>
  <c r="J102" i="4" s="1"/>
  <c r="D102" i="4"/>
  <c r="E102" i="4"/>
  <c r="K102" i="4" s="1"/>
  <c r="F102" i="4"/>
  <c r="G102" i="4"/>
  <c r="I102" i="4"/>
  <c r="A103" i="4"/>
  <c r="B103" i="4"/>
  <c r="H103" i="4" s="1"/>
  <c r="C103" i="4"/>
  <c r="J103" i="4" s="1"/>
  <c r="D103" i="4"/>
  <c r="I103" i="4" s="1"/>
  <c r="E103" i="4"/>
  <c r="K103" i="4" s="1"/>
  <c r="F103" i="4"/>
  <c r="G103" i="4"/>
  <c r="A104" i="4"/>
  <c r="B104" i="4"/>
  <c r="H104" i="4" s="1"/>
  <c r="C104" i="4"/>
  <c r="J104" i="4" s="1"/>
  <c r="D104" i="4"/>
  <c r="I104" i="4" s="1"/>
  <c r="E104" i="4"/>
  <c r="K104" i="4" s="1"/>
  <c r="F104" i="4"/>
  <c r="G104" i="4"/>
  <c r="A105" i="4"/>
  <c r="B105" i="4"/>
  <c r="C105" i="4"/>
  <c r="J105" i="4" s="1"/>
  <c r="D105" i="4"/>
  <c r="I105" i="4" s="1"/>
  <c r="E105" i="4"/>
  <c r="K105" i="4" s="1"/>
  <c r="F105" i="4"/>
  <c r="G105" i="4"/>
  <c r="H105" i="4"/>
  <c r="A106" i="4"/>
  <c r="B106" i="4"/>
  <c r="H106" i="4" s="1"/>
  <c r="C106" i="4"/>
  <c r="J106" i="4" s="1"/>
  <c r="D106" i="4"/>
  <c r="I106" i="4" s="1"/>
  <c r="E106" i="4"/>
  <c r="K106" i="4" s="1"/>
  <c r="F106" i="4"/>
  <c r="G106" i="4"/>
  <c r="A107" i="4"/>
  <c r="B107" i="4"/>
  <c r="H107" i="4" s="1"/>
  <c r="C107" i="4"/>
  <c r="J107" i="4" s="1"/>
  <c r="D107" i="4"/>
  <c r="I107" i="4" s="1"/>
  <c r="E107" i="4"/>
  <c r="K107" i="4" s="1"/>
  <c r="F107" i="4"/>
  <c r="G107" i="4"/>
  <c r="A108" i="4"/>
  <c r="B108" i="4"/>
  <c r="H108" i="4" s="1"/>
  <c r="C108" i="4"/>
  <c r="J108" i="4" s="1"/>
  <c r="D108" i="4"/>
  <c r="E108" i="4"/>
  <c r="K108" i="4" s="1"/>
  <c r="F108" i="4"/>
  <c r="G108" i="4"/>
  <c r="I108" i="4"/>
  <c r="A109" i="4"/>
  <c r="B109" i="4"/>
  <c r="H109" i="4" s="1"/>
  <c r="C109" i="4"/>
  <c r="J109" i="4" s="1"/>
  <c r="D109" i="4"/>
  <c r="I109" i="4" s="1"/>
  <c r="E109" i="4"/>
  <c r="K109" i="4" s="1"/>
  <c r="F109" i="4"/>
  <c r="G109" i="4"/>
  <c r="A110" i="4"/>
  <c r="B110" i="4"/>
  <c r="H110" i="4" s="1"/>
  <c r="C110" i="4"/>
  <c r="J110" i="4" s="1"/>
  <c r="D110" i="4"/>
  <c r="I110" i="4" s="1"/>
  <c r="E110" i="4"/>
  <c r="K110" i="4" s="1"/>
  <c r="F110" i="4"/>
  <c r="G110" i="4"/>
  <c r="A111" i="4"/>
  <c r="B111" i="4"/>
  <c r="H111" i="4" s="1"/>
  <c r="C111" i="4"/>
  <c r="J111" i="4" s="1"/>
  <c r="D111" i="4"/>
  <c r="I111" i="4" s="1"/>
  <c r="E111" i="4"/>
  <c r="K111" i="4" s="1"/>
  <c r="F111" i="4"/>
  <c r="G111" i="4"/>
  <c r="A112" i="4"/>
  <c r="B112" i="4"/>
  <c r="H112" i="4" s="1"/>
  <c r="C112" i="4"/>
  <c r="J112" i="4" s="1"/>
  <c r="D112" i="4"/>
  <c r="I112" i="4" s="1"/>
  <c r="E112" i="4"/>
  <c r="K112" i="4" s="1"/>
  <c r="F112" i="4"/>
  <c r="G112" i="4"/>
  <c r="A113" i="4"/>
  <c r="B113" i="4"/>
  <c r="H113" i="4" s="1"/>
  <c r="C113" i="4"/>
  <c r="J113" i="4" s="1"/>
  <c r="D113" i="4"/>
  <c r="I113" i="4" s="1"/>
  <c r="E113" i="4"/>
  <c r="K113" i="4" s="1"/>
  <c r="F113" i="4"/>
  <c r="G113" i="4"/>
  <c r="A114" i="4"/>
  <c r="B114" i="4"/>
  <c r="H114" i="4" s="1"/>
  <c r="C114" i="4"/>
  <c r="J114" i="4" s="1"/>
  <c r="D114" i="4"/>
  <c r="I114" i="4" s="1"/>
  <c r="E114" i="4"/>
  <c r="K114" i="4" s="1"/>
  <c r="F114" i="4"/>
  <c r="G114" i="4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F35" i="3" s="1"/>
  <c r="C35" i="3"/>
  <c r="D35" i="3"/>
  <c r="E35" i="3"/>
  <c r="A36" i="3"/>
  <c r="B36" i="3"/>
  <c r="C36" i="3"/>
  <c r="D36" i="3"/>
  <c r="E36" i="3"/>
  <c r="F36" i="3"/>
  <c r="A37" i="3"/>
  <c r="B37" i="3"/>
  <c r="F37" i="3" s="1"/>
  <c r="C37" i="3"/>
  <c r="D37" i="3"/>
  <c r="E37" i="3"/>
  <c r="A38" i="3"/>
  <c r="B38" i="3"/>
  <c r="C38" i="3"/>
  <c r="D38" i="3"/>
  <c r="E38" i="3"/>
  <c r="G38" i="3"/>
  <c r="A39" i="3"/>
  <c r="B39" i="3"/>
  <c r="G39" i="3" s="1"/>
  <c r="C39" i="3"/>
  <c r="D39" i="3"/>
  <c r="E39" i="3"/>
  <c r="A40" i="3"/>
  <c r="B40" i="3"/>
  <c r="G40" i="3" s="1"/>
  <c r="C40" i="3"/>
  <c r="D40" i="3"/>
  <c r="E40" i="3"/>
  <c r="A41" i="3"/>
  <c r="B41" i="3"/>
  <c r="G41" i="3" s="1"/>
  <c r="C41" i="3"/>
  <c r="D41" i="3"/>
  <c r="E41" i="3"/>
  <c r="F41" i="3"/>
  <c r="A42" i="3"/>
  <c r="B42" i="3"/>
  <c r="G42" i="3" s="1"/>
  <c r="C42" i="3"/>
  <c r="D42" i="3"/>
  <c r="E42" i="3"/>
  <c r="F42" i="3"/>
  <c r="A43" i="3"/>
  <c r="B43" i="3"/>
  <c r="G43" i="3" s="1"/>
  <c r="C43" i="3"/>
  <c r="D43" i="3"/>
  <c r="E43" i="3"/>
  <c r="F43" i="3"/>
  <c r="A44" i="3"/>
  <c r="B44" i="3"/>
  <c r="G44" i="3" s="1"/>
  <c r="C44" i="3"/>
  <c r="D44" i="3"/>
  <c r="E44" i="3"/>
  <c r="F44" i="3"/>
  <c r="H44" i="3"/>
  <c r="A45" i="3"/>
  <c r="B45" i="3"/>
  <c r="G45" i="3" s="1"/>
  <c r="C45" i="3"/>
  <c r="D45" i="3"/>
  <c r="E45" i="3"/>
  <c r="A46" i="3"/>
  <c r="B46" i="3"/>
  <c r="G46" i="3" s="1"/>
  <c r="C46" i="3"/>
  <c r="D46" i="3"/>
  <c r="E46" i="3"/>
  <c r="F46" i="3"/>
  <c r="A47" i="3"/>
  <c r="B47" i="3"/>
  <c r="G47" i="3" s="1"/>
  <c r="C47" i="3"/>
  <c r="D47" i="3"/>
  <c r="E47" i="3"/>
  <c r="A48" i="3"/>
  <c r="B48" i="3"/>
  <c r="G48" i="3" s="1"/>
  <c r="C48" i="3"/>
  <c r="D48" i="3"/>
  <c r="E48" i="3"/>
  <c r="F48" i="3"/>
  <c r="H48" i="3"/>
  <c r="A49" i="3"/>
  <c r="B49" i="3"/>
  <c r="G49" i="3" s="1"/>
  <c r="C49" i="3"/>
  <c r="D49" i="3"/>
  <c r="E49" i="3"/>
  <c r="A50" i="3"/>
  <c r="B50" i="3"/>
  <c r="G50" i="3" s="1"/>
  <c r="C50" i="3"/>
  <c r="D50" i="3"/>
  <c r="E50" i="3"/>
  <c r="F50" i="3"/>
  <c r="A51" i="3"/>
  <c r="B51" i="3"/>
  <c r="G51" i="3" s="1"/>
  <c r="C51" i="3"/>
  <c r="D51" i="3"/>
  <c r="E51" i="3"/>
  <c r="A52" i="3"/>
  <c r="B52" i="3"/>
  <c r="G52" i="3" s="1"/>
  <c r="C52" i="3"/>
  <c r="D52" i="3"/>
  <c r="E52" i="3"/>
  <c r="F52" i="3"/>
  <c r="H52" i="3"/>
  <c r="A53" i="3"/>
  <c r="B53" i="3"/>
  <c r="G53" i="3" s="1"/>
  <c r="C53" i="3"/>
  <c r="D53" i="3"/>
  <c r="E53" i="3"/>
  <c r="A54" i="3"/>
  <c r="B54" i="3"/>
  <c r="G54" i="3" s="1"/>
  <c r="C54" i="3"/>
  <c r="D54" i="3"/>
  <c r="E54" i="3"/>
  <c r="F54" i="3"/>
  <c r="A55" i="3"/>
  <c r="B55" i="3"/>
  <c r="G55" i="3" s="1"/>
  <c r="C55" i="3"/>
  <c r="D55" i="3"/>
  <c r="E55" i="3"/>
  <c r="A56" i="3"/>
  <c r="B56" i="3"/>
  <c r="G56" i="3" s="1"/>
  <c r="C56" i="3"/>
  <c r="D56" i="3"/>
  <c r="E56" i="3"/>
  <c r="F56" i="3"/>
  <c r="H56" i="3"/>
  <c r="A57" i="3"/>
  <c r="B57" i="3"/>
  <c r="G57" i="3" s="1"/>
  <c r="C57" i="3"/>
  <c r="D57" i="3"/>
  <c r="E57" i="3"/>
  <c r="F57" i="3"/>
  <c r="A58" i="3"/>
  <c r="B58" i="3"/>
  <c r="G58" i="3" s="1"/>
  <c r="C58" i="3"/>
  <c r="D58" i="3"/>
  <c r="E58" i="3"/>
  <c r="F58" i="3"/>
  <c r="A59" i="3"/>
  <c r="B59" i="3"/>
  <c r="G59" i="3" s="1"/>
  <c r="C59" i="3"/>
  <c r="D59" i="3"/>
  <c r="E59" i="3"/>
  <c r="A60" i="3"/>
  <c r="B60" i="3"/>
  <c r="G60" i="3" s="1"/>
  <c r="C60" i="3"/>
  <c r="D60" i="3"/>
  <c r="E60" i="3"/>
  <c r="F60" i="3"/>
  <c r="H60" i="3"/>
  <c r="A61" i="3"/>
  <c r="B61" i="3"/>
  <c r="G61" i="3" s="1"/>
  <c r="C61" i="3"/>
  <c r="D61" i="3"/>
  <c r="E61" i="3"/>
  <c r="A62" i="3"/>
  <c r="B62" i="3"/>
  <c r="G62" i="3" s="1"/>
  <c r="C62" i="3"/>
  <c r="D62" i="3"/>
  <c r="E62" i="3"/>
  <c r="F62" i="3"/>
  <c r="A63" i="3"/>
  <c r="B63" i="3"/>
  <c r="G63" i="3" s="1"/>
  <c r="C63" i="3"/>
  <c r="D63" i="3"/>
  <c r="E63" i="3"/>
  <c r="A64" i="3"/>
  <c r="B64" i="3"/>
  <c r="G64" i="3" s="1"/>
  <c r="C64" i="3"/>
  <c r="D64" i="3"/>
  <c r="E64" i="3"/>
  <c r="F64" i="3"/>
  <c r="H64" i="3"/>
  <c r="A65" i="3"/>
  <c r="B65" i="3"/>
  <c r="G65" i="3" s="1"/>
  <c r="C65" i="3"/>
  <c r="D65" i="3"/>
  <c r="E65" i="3"/>
  <c r="A66" i="3"/>
  <c r="B66" i="3"/>
  <c r="G66" i="3" s="1"/>
  <c r="C66" i="3"/>
  <c r="D66" i="3"/>
  <c r="E66" i="3"/>
  <c r="F66" i="3"/>
  <c r="A67" i="3"/>
  <c r="B67" i="3"/>
  <c r="G67" i="3" s="1"/>
  <c r="C67" i="3"/>
  <c r="D67" i="3"/>
  <c r="E67" i="3"/>
  <c r="A68" i="3"/>
  <c r="B68" i="3"/>
  <c r="G68" i="3" s="1"/>
  <c r="C68" i="3"/>
  <c r="D68" i="3"/>
  <c r="E68" i="3"/>
  <c r="F68" i="3"/>
  <c r="H68" i="3"/>
  <c r="A69" i="3"/>
  <c r="B69" i="3"/>
  <c r="G69" i="3" s="1"/>
  <c r="C69" i="3"/>
  <c r="D69" i="3"/>
  <c r="E69" i="3"/>
  <c r="A70" i="3"/>
  <c r="B70" i="3"/>
  <c r="G70" i="3" s="1"/>
  <c r="C70" i="3"/>
  <c r="D70" i="3"/>
  <c r="E70" i="3"/>
  <c r="F70" i="3"/>
  <c r="A71" i="3"/>
  <c r="B71" i="3"/>
  <c r="G71" i="3" s="1"/>
  <c r="C71" i="3"/>
  <c r="D71" i="3"/>
  <c r="E71" i="3"/>
  <c r="A72" i="3"/>
  <c r="B72" i="3"/>
  <c r="G72" i="3" s="1"/>
  <c r="C72" i="3"/>
  <c r="D72" i="3"/>
  <c r="E72" i="3"/>
  <c r="F72" i="3"/>
  <c r="H72" i="3"/>
  <c r="A73" i="3"/>
  <c r="B73" i="3"/>
  <c r="G73" i="3" s="1"/>
  <c r="C73" i="3"/>
  <c r="D73" i="3"/>
  <c r="E73" i="3"/>
  <c r="A74" i="3"/>
  <c r="B74" i="3"/>
  <c r="G74" i="3" s="1"/>
  <c r="C74" i="3"/>
  <c r="D74" i="3"/>
  <c r="E74" i="3"/>
  <c r="F74" i="3"/>
  <c r="A75" i="3"/>
  <c r="B75" i="3"/>
  <c r="G75" i="3" s="1"/>
  <c r="C75" i="3"/>
  <c r="D75" i="3"/>
  <c r="E75" i="3"/>
  <c r="A76" i="3"/>
  <c r="B76" i="3"/>
  <c r="G76" i="3" s="1"/>
  <c r="C76" i="3"/>
  <c r="D76" i="3"/>
  <c r="E76" i="3"/>
  <c r="F76" i="3"/>
  <c r="H76" i="3"/>
  <c r="A77" i="3"/>
  <c r="B77" i="3"/>
  <c r="G77" i="3" s="1"/>
  <c r="C77" i="3"/>
  <c r="D77" i="3"/>
  <c r="E77" i="3"/>
  <c r="F77" i="3"/>
  <c r="A78" i="3"/>
  <c r="B78" i="3"/>
  <c r="G78" i="3" s="1"/>
  <c r="C78" i="3"/>
  <c r="D78" i="3"/>
  <c r="E78" i="3"/>
  <c r="F78" i="3"/>
  <c r="A79" i="3"/>
  <c r="B79" i="3"/>
  <c r="G79" i="3" s="1"/>
  <c r="C79" i="3"/>
  <c r="D79" i="3"/>
  <c r="E79" i="3"/>
  <c r="A80" i="3"/>
  <c r="B80" i="3"/>
  <c r="G80" i="3" s="1"/>
  <c r="C80" i="3"/>
  <c r="D80" i="3"/>
  <c r="E80" i="3"/>
  <c r="F80" i="3"/>
  <c r="H80" i="3"/>
  <c r="A81" i="3"/>
  <c r="B81" i="3"/>
  <c r="G81" i="3" s="1"/>
  <c r="C81" i="3"/>
  <c r="D81" i="3"/>
  <c r="E81" i="3"/>
  <c r="A82" i="3"/>
  <c r="B82" i="3"/>
  <c r="G82" i="3" s="1"/>
  <c r="C82" i="3"/>
  <c r="D82" i="3"/>
  <c r="E82" i="3"/>
  <c r="F82" i="3"/>
  <c r="A83" i="3"/>
  <c r="B83" i="3"/>
  <c r="F83" i="3" s="1"/>
  <c r="C83" i="3"/>
  <c r="D83" i="3"/>
  <c r="E83" i="3"/>
  <c r="A84" i="3"/>
  <c r="B84" i="3"/>
  <c r="G84" i="3" s="1"/>
  <c r="C84" i="3"/>
  <c r="D84" i="3"/>
  <c r="E84" i="3"/>
  <c r="F84" i="3"/>
  <c r="A85" i="3"/>
  <c r="B85" i="3"/>
  <c r="F85" i="3" s="1"/>
  <c r="C85" i="3"/>
  <c r="D85" i="3"/>
  <c r="E85" i="3"/>
  <c r="A86" i="3"/>
  <c r="B86" i="3"/>
  <c r="G86" i="3" s="1"/>
  <c r="C86" i="3"/>
  <c r="D86" i="3"/>
  <c r="E86" i="3"/>
  <c r="F86" i="3"/>
  <c r="A87" i="3"/>
  <c r="B87" i="3"/>
  <c r="G87" i="3" s="1"/>
  <c r="C87" i="3"/>
  <c r="D87" i="3"/>
  <c r="E87" i="3"/>
  <c r="A88" i="3"/>
  <c r="B88" i="3"/>
  <c r="G88" i="3" s="1"/>
  <c r="C88" i="3"/>
  <c r="D88" i="3"/>
  <c r="E88" i="3"/>
  <c r="A89" i="3"/>
  <c r="B89" i="3"/>
  <c r="G89" i="3" s="1"/>
  <c r="C89" i="3"/>
  <c r="D89" i="3"/>
  <c r="E89" i="3"/>
  <c r="A90" i="3"/>
  <c r="B90" i="3"/>
  <c r="G90" i="3" s="1"/>
  <c r="C90" i="3"/>
  <c r="D90" i="3"/>
  <c r="E90" i="3"/>
  <c r="F90" i="3"/>
  <c r="A91" i="3"/>
  <c r="B91" i="3"/>
  <c r="F91" i="3" s="1"/>
  <c r="C91" i="3"/>
  <c r="D91" i="3"/>
  <c r="E91" i="3"/>
  <c r="H91" i="3"/>
  <c r="A92" i="3"/>
  <c r="B92" i="3"/>
  <c r="G92" i="3" s="1"/>
  <c r="C92" i="3"/>
  <c r="D92" i="3"/>
  <c r="E92" i="3"/>
  <c r="F92" i="3"/>
  <c r="A93" i="3"/>
  <c r="B93" i="3"/>
  <c r="G93" i="3" s="1"/>
  <c r="C93" i="3"/>
  <c r="D93" i="3"/>
  <c r="E93" i="3"/>
  <c r="A94" i="3"/>
  <c r="B94" i="3"/>
  <c r="G94" i="3" s="1"/>
  <c r="C94" i="3"/>
  <c r="D94" i="3"/>
  <c r="E94" i="3"/>
  <c r="F94" i="3"/>
  <c r="A95" i="3"/>
  <c r="B95" i="3"/>
  <c r="G95" i="3" s="1"/>
  <c r="C95" i="3"/>
  <c r="D95" i="3"/>
  <c r="E95" i="3"/>
  <c r="A96" i="3"/>
  <c r="B96" i="3"/>
  <c r="G96" i="3" s="1"/>
  <c r="C96" i="3"/>
  <c r="D96" i="3"/>
  <c r="E96" i="3"/>
  <c r="F96" i="3"/>
  <c r="A97" i="3"/>
  <c r="B97" i="3"/>
  <c r="G97" i="3" s="1"/>
  <c r="C97" i="3"/>
  <c r="D97" i="3"/>
  <c r="E97" i="3"/>
  <c r="F97" i="3"/>
  <c r="A98" i="3"/>
  <c r="B98" i="3"/>
  <c r="G98" i="3" s="1"/>
  <c r="C98" i="3"/>
  <c r="D98" i="3"/>
  <c r="E98" i="3"/>
  <c r="F98" i="3"/>
  <c r="A99" i="3"/>
  <c r="B99" i="3"/>
  <c r="G99" i="3" s="1"/>
  <c r="C99" i="3"/>
  <c r="D99" i="3"/>
  <c r="E99" i="3"/>
  <c r="A100" i="3"/>
  <c r="B100" i="3"/>
  <c r="G100" i="3" s="1"/>
  <c r="C100" i="3"/>
  <c r="D100" i="3"/>
  <c r="E100" i="3"/>
  <c r="F100" i="3"/>
  <c r="A101" i="3"/>
  <c r="B101" i="3"/>
  <c r="G101" i="3" s="1"/>
  <c r="C101" i="3"/>
  <c r="D101" i="3"/>
  <c r="E101" i="3"/>
  <c r="A102" i="3"/>
  <c r="B102" i="3"/>
  <c r="G102" i="3" s="1"/>
  <c r="C102" i="3"/>
  <c r="D102" i="3"/>
  <c r="E102" i="3"/>
  <c r="A103" i="3"/>
  <c r="B103" i="3"/>
  <c r="G103" i="3" s="1"/>
  <c r="C103" i="3"/>
  <c r="D103" i="3"/>
  <c r="E103" i="3"/>
  <c r="F103" i="3"/>
  <c r="A104" i="3"/>
  <c r="B104" i="3"/>
  <c r="G104" i="3" s="1"/>
  <c r="C104" i="3"/>
  <c r="D104" i="3"/>
  <c r="E104" i="3"/>
  <c r="F104" i="3"/>
  <c r="A105" i="3"/>
  <c r="B105" i="3"/>
  <c r="G105" i="3" s="1"/>
  <c r="C105" i="3"/>
  <c r="D105" i="3"/>
  <c r="E105" i="3"/>
  <c r="A106" i="3"/>
  <c r="B106" i="3"/>
  <c r="G106" i="3" s="1"/>
  <c r="C106" i="3"/>
  <c r="D106" i="3"/>
  <c r="E106" i="3"/>
  <c r="F106" i="3"/>
  <c r="A107" i="3"/>
  <c r="B107" i="3"/>
  <c r="G107" i="3" s="1"/>
  <c r="C107" i="3"/>
  <c r="D107" i="3"/>
  <c r="E107" i="3"/>
  <c r="F107" i="3"/>
  <c r="A108" i="3"/>
  <c r="B108" i="3"/>
  <c r="G108" i="3" s="1"/>
  <c r="C108" i="3"/>
  <c r="D108" i="3"/>
  <c r="E108" i="3"/>
  <c r="F108" i="3"/>
  <c r="A109" i="3"/>
  <c r="B109" i="3"/>
  <c r="G109" i="3" s="1"/>
  <c r="C109" i="3"/>
  <c r="D109" i="3"/>
  <c r="E109" i="3"/>
  <c r="A110" i="3"/>
  <c r="B110" i="3"/>
  <c r="G110" i="3" s="1"/>
  <c r="C110" i="3"/>
  <c r="D110" i="3"/>
  <c r="E110" i="3"/>
  <c r="F110" i="3"/>
  <c r="A111" i="3"/>
  <c r="B111" i="3"/>
  <c r="G111" i="3" s="1"/>
  <c r="C111" i="3"/>
  <c r="D111" i="3"/>
  <c r="E111" i="3"/>
  <c r="A112" i="3"/>
  <c r="B112" i="3"/>
  <c r="G112" i="3" s="1"/>
  <c r="C112" i="3"/>
  <c r="D112" i="3"/>
  <c r="E112" i="3"/>
  <c r="F112" i="3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H18" i="2" s="1"/>
  <c r="C18" i="2"/>
  <c r="D18" i="2"/>
  <c r="E18" i="2"/>
  <c r="F18" i="2"/>
  <c r="A19" i="2"/>
  <c r="B19" i="2"/>
  <c r="C19" i="2"/>
  <c r="D19" i="2"/>
  <c r="E19" i="2"/>
  <c r="F19" i="2"/>
  <c r="A20" i="2"/>
  <c r="B20" i="2"/>
  <c r="H20" i="2" s="1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H24" i="2" s="1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H28" i="2" s="1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H32" i="2" s="1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H35" i="2" s="1"/>
  <c r="C35" i="2"/>
  <c r="G35" i="2" s="1"/>
  <c r="I35" i="2" s="1"/>
  <c r="D35" i="2"/>
  <c r="E35" i="2"/>
  <c r="K35" i="2" s="1"/>
  <c r="F35" i="2"/>
  <c r="A36" i="2"/>
  <c r="B36" i="2"/>
  <c r="L36" i="2" s="1"/>
  <c r="C36" i="2"/>
  <c r="G36" i="2" s="1"/>
  <c r="I36" i="2" s="1"/>
  <c r="D36" i="2"/>
  <c r="E36" i="2"/>
  <c r="K36" i="2" s="1"/>
  <c r="F36" i="2"/>
  <c r="A37" i="2"/>
  <c r="B37" i="2"/>
  <c r="L37" i="2" s="1"/>
  <c r="C37" i="2"/>
  <c r="G37" i="2" s="1"/>
  <c r="I37" i="2" s="1"/>
  <c r="D37" i="2"/>
  <c r="E37" i="2"/>
  <c r="K37" i="2" s="1"/>
  <c r="F37" i="2"/>
  <c r="A38" i="2"/>
  <c r="B38" i="2"/>
  <c r="J38" i="2" s="1"/>
  <c r="C38" i="2"/>
  <c r="G38" i="2" s="1"/>
  <c r="I38" i="2" s="1"/>
  <c r="D38" i="2"/>
  <c r="E38" i="2"/>
  <c r="K38" i="2" s="1"/>
  <c r="F38" i="2"/>
  <c r="A39" i="2"/>
  <c r="B39" i="2"/>
  <c r="H39" i="2" s="1"/>
  <c r="C39" i="2"/>
  <c r="D39" i="2"/>
  <c r="E39" i="2"/>
  <c r="K39" i="2" s="1"/>
  <c r="F39" i="2"/>
  <c r="G39" i="2"/>
  <c r="I39" i="2" s="1"/>
  <c r="A40" i="2"/>
  <c r="B40" i="2"/>
  <c r="L40" i="2" s="1"/>
  <c r="C40" i="2"/>
  <c r="G40" i="2" s="1"/>
  <c r="I40" i="2" s="1"/>
  <c r="D40" i="2"/>
  <c r="E40" i="2"/>
  <c r="K40" i="2" s="1"/>
  <c r="F40" i="2"/>
  <c r="A41" i="2"/>
  <c r="B41" i="2"/>
  <c r="L41" i="2" s="1"/>
  <c r="C41" i="2"/>
  <c r="G41" i="2" s="1"/>
  <c r="I41" i="2" s="1"/>
  <c r="D41" i="2"/>
  <c r="E41" i="2"/>
  <c r="K41" i="2" s="1"/>
  <c r="F41" i="2"/>
  <c r="A42" i="2"/>
  <c r="B42" i="2"/>
  <c r="J42" i="2" s="1"/>
  <c r="C42" i="2"/>
  <c r="G42" i="2" s="1"/>
  <c r="I42" i="2" s="1"/>
  <c r="D42" i="2"/>
  <c r="E42" i="2"/>
  <c r="K42" i="2" s="1"/>
  <c r="F42" i="2"/>
  <c r="A43" i="2"/>
  <c r="B43" i="2"/>
  <c r="H43" i="2" s="1"/>
  <c r="C43" i="2"/>
  <c r="G43" i="2" s="1"/>
  <c r="I43" i="2" s="1"/>
  <c r="D43" i="2"/>
  <c r="E43" i="2"/>
  <c r="K43" i="2" s="1"/>
  <c r="F43" i="2"/>
  <c r="L43" i="2"/>
  <c r="A44" i="2"/>
  <c r="B44" i="2"/>
  <c r="L44" i="2" s="1"/>
  <c r="C44" i="2"/>
  <c r="D44" i="2"/>
  <c r="E44" i="2"/>
  <c r="K44" i="2" s="1"/>
  <c r="F44" i="2"/>
  <c r="G44" i="2"/>
  <c r="I44" i="2" s="1"/>
  <c r="J44" i="2"/>
  <c r="A45" i="2"/>
  <c r="B45" i="2"/>
  <c r="L45" i="2" s="1"/>
  <c r="C45" i="2"/>
  <c r="D45" i="2"/>
  <c r="E45" i="2"/>
  <c r="K45" i="2" s="1"/>
  <c r="F45" i="2"/>
  <c r="G45" i="2"/>
  <c r="I45" i="2"/>
  <c r="A46" i="2"/>
  <c r="B46" i="2"/>
  <c r="C46" i="2"/>
  <c r="G46" i="2" s="1"/>
  <c r="I46" i="2" s="1"/>
  <c r="D46" i="2"/>
  <c r="E46" i="2"/>
  <c r="K46" i="2" s="1"/>
  <c r="F46" i="2"/>
  <c r="J46" i="2"/>
  <c r="A47" i="2"/>
  <c r="B47" i="2"/>
  <c r="H47" i="2" s="1"/>
  <c r="C47" i="2"/>
  <c r="G47" i="2" s="1"/>
  <c r="I47" i="2" s="1"/>
  <c r="D47" i="2"/>
  <c r="E47" i="2"/>
  <c r="K47" i="2" s="1"/>
  <c r="F47" i="2"/>
  <c r="L47" i="2"/>
  <c r="A48" i="2"/>
  <c r="B48" i="2"/>
  <c r="L48" i="2" s="1"/>
  <c r="C48" i="2"/>
  <c r="G48" i="2" s="1"/>
  <c r="I48" i="2" s="1"/>
  <c r="D48" i="2"/>
  <c r="E48" i="2"/>
  <c r="K48" i="2" s="1"/>
  <c r="F48" i="2"/>
  <c r="A49" i="2"/>
  <c r="B49" i="2"/>
  <c r="L49" i="2" s="1"/>
  <c r="C49" i="2"/>
  <c r="D49" i="2"/>
  <c r="E49" i="2"/>
  <c r="K49" i="2" s="1"/>
  <c r="F49" i="2"/>
  <c r="G49" i="2"/>
  <c r="I49" i="2" s="1"/>
  <c r="A50" i="2"/>
  <c r="B50" i="2"/>
  <c r="C50" i="2"/>
  <c r="G50" i="2" s="1"/>
  <c r="I50" i="2" s="1"/>
  <c r="D50" i="2"/>
  <c r="E50" i="2"/>
  <c r="K50" i="2" s="1"/>
  <c r="F50" i="2"/>
  <c r="A51" i="2"/>
  <c r="B51" i="2"/>
  <c r="H51" i="2" s="1"/>
  <c r="C51" i="2"/>
  <c r="G51" i="2" s="1"/>
  <c r="I51" i="2" s="1"/>
  <c r="D51" i="2"/>
  <c r="E51" i="2"/>
  <c r="K51" i="2" s="1"/>
  <c r="F51" i="2"/>
  <c r="A52" i="2"/>
  <c r="B52" i="2"/>
  <c r="L52" i="2" s="1"/>
  <c r="C52" i="2"/>
  <c r="G52" i="2" s="1"/>
  <c r="I52" i="2" s="1"/>
  <c r="D52" i="2"/>
  <c r="E52" i="2"/>
  <c r="K52" i="2" s="1"/>
  <c r="F52" i="2"/>
  <c r="A53" i="2"/>
  <c r="B53" i="2"/>
  <c r="L53" i="2" s="1"/>
  <c r="C53" i="2"/>
  <c r="D53" i="2"/>
  <c r="E53" i="2"/>
  <c r="K53" i="2" s="1"/>
  <c r="F53" i="2"/>
  <c r="G53" i="2"/>
  <c r="I53" i="2" s="1"/>
  <c r="A54" i="2"/>
  <c r="B54" i="2"/>
  <c r="C54" i="2"/>
  <c r="D54" i="2"/>
  <c r="E54" i="2"/>
  <c r="K54" i="2" s="1"/>
  <c r="F54" i="2"/>
  <c r="G54" i="2"/>
  <c r="I54" i="2" s="1"/>
  <c r="A55" i="2"/>
  <c r="B55" i="2"/>
  <c r="H55" i="2" s="1"/>
  <c r="C55" i="2"/>
  <c r="G55" i="2" s="1"/>
  <c r="I55" i="2" s="1"/>
  <c r="D55" i="2"/>
  <c r="E55" i="2"/>
  <c r="K55" i="2" s="1"/>
  <c r="F55" i="2"/>
  <c r="A56" i="2"/>
  <c r="B56" i="2"/>
  <c r="L56" i="2" s="1"/>
  <c r="C56" i="2"/>
  <c r="G56" i="2" s="1"/>
  <c r="I56" i="2" s="1"/>
  <c r="D56" i="2"/>
  <c r="E56" i="2"/>
  <c r="K56" i="2" s="1"/>
  <c r="F56" i="2"/>
  <c r="A57" i="2"/>
  <c r="B57" i="2"/>
  <c r="L57" i="2" s="1"/>
  <c r="C57" i="2"/>
  <c r="G57" i="2" s="1"/>
  <c r="I57" i="2" s="1"/>
  <c r="D57" i="2"/>
  <c r="E57" i="2"/>
  <c r="K57" i="2" s="1"/>
  <c r="F57" i="2"/>
  <c r="A58" i="2"/>
  <c r="B58" i="2"/>
  <c r="J58" i="2" s="1"/>
  <c r="C58" i="2"/>
  <c r="G58" i="2" s="1"/>
  <c r="I58" i="2" s="1"/>
  <c r="D58" i="2"/>
  <c r="E58" i="2"/>
  <c r="K58" i="2" s="1"/>
  <c r="F58" i="2"/>
  <c r="A59" i="2"/>
  <c r="B59" i="2"/>
  <c r="J59" i="2" s="1"/>
  <c r="C59" i="2"/>
  <c r="G59" i="2" s="1"/>
  <c r="I59" i="2" s="1"/>
  <c r="D59" i="2"/>
  <c r="E59" i="2"/>
  <c r="K59" i="2" s="1"/>
  <c r="F59" i="2"/>
  <c r="A60" i="2"/>
  <c r="B60" i="2"/>
  <c r="L60" i="2" s="1"/>
  <c r="C60" i="2"/>
  <c r="D60" i="2"/>
  <c r="E60" i="2"/>
  <c r="K60" i="2" s="1"/>
  <c r="F60" i="2"/>
  <c r="G60" i="2"/>
  <c r="I60" i="2" s="1"/>
  <c r="A61" i="2"/>
  <c r="B61" i="2"/>
  <c r="L61" i="2" s="1"/>
  <c r="C61" i="2"/>
  <c r="G61" i="2" s="1"/>
  <c r="I61" i="2" s="1"/>
  <c r="D61" i="2"/>
  <c r="E61" i="2"/>
  <c r="K61" i="2" s="1"/>
  <c r="F61" i="2"/>
  <c r="A62" i="2"/>
  <c r="B62" i="2"/>
  <c r="J62" i="2" s="1"/>
  <c r="C62" i="2"/>
  <c r="G62" i="2" s="1"/>
  <c r="I62" i="2" s="1"/>
  <c r="D62" i="2"/>
  <c r="E62" i="2"/>
  <c r="K62" i="2" s="1"/>
  <c r="F62" i="2"/>
  <c r="A63" i="2"/>
  <c r="B63" i="2"/>
  <c r="H63" i="2" s="1"/>
  <c r="C63" i="2"/>
  <c r="G63" i="2" s="1"/>
  <c r="I63" i="2" s="1"/>
  <c r="D63" i="2"/>
  <c r="E63" i="2"/>
  <c r="K63" i="2" s="1"/>
  <c r="F63" i="2"/>
  <c r="A64" i="2"/>
  <c r="B64" i="2"/>
  <c r="L64" i="2" s="1"/>
  <c r="C64" i="2"/>
  <c r="G64" i="2" s="1"/>
  <c r="I64" i="2" s="1"/>
  <c r="D64" i="2"/>
  <c r="E64" i="2"/>
  <c r="K64" i="2" s="1"/>
  <c r="F64" i="2"/>
  <c r="A65" i="2"/>
  <c r="B65" i="2"/>
  <c r="L65" i="2" s="1"/>
  <c r="C65" i="2"/>
  <c r="G65" i="2" s="1"/>
  <c r="I65" i="2" s="1"/>
  <c r="D65" i="2"/>
  <c r="E65" i="2"/>
  <c r="K65" i="2" s="1"/>
  <c r="F65" i="2"/>
  <c r="A66" i="2"/>
  <c r="B66" i="2"/>
  <c r="H66" i="2" s="1"/>
  <c r="C66" i="2"/>
  <c r="G66" i="2" s="1"/>
  <c r="I66" i="2" s="1"/>
  <c r="D66" i="2"/>
  <c r="E66" i="2"/>
  <c r="K66" i="2" s="1"/>
  <c r="F66" i="2"/>
  <c r="F95" i="3" l="1"/>
  <c r="F65" i="3"/>
  <c r="F61" i="3"/>
  <c r="F49" i="3"/>
  <c r="F40" i="3"/>
  <c r="J47" i="2"/>
  <c r="F53" i="3"/>
  <c r="F45" i="3"/>
  <c r="F111" i="3"/>
  <c r="F102" i="3"/>
  <c r="F88" i="3"/>
  <c r="G83" i="3"/>
  <c r="F81" i="3"/>
  <c r="F73" i="3"/>
  <c r="F69" i="3"/>
  <c r="J45" i="2"/>
  <c r="H40" i="3"/>
  <c r="F109" i="3"/>
  <c r="F105" i="3"/>
  <c r="F99" i="3"/>
  <c r="F75" i="3"/>
  <c r="F67" i="3"/>
  <c r="J57" i="2"/>
  <c r="J56" i="2"/>
  <c r="L39" i="2"/>
  <c r="J35" i="2"/>
  <c r="H16" i="2"/>
  <c r="H81" i="3"/>
  <c r="H77" i="3"/>
  <c r="H73" i="3"/>
  <c r="H69" i="3"/>
  <c r="H65" i="3"/>
  <c r="H61" i="3"/>
  <c r="H57" i="3"/>
  <c r="H53" i="3"/>
  <c r="H49" i="3"/>
  <c r="H45" i="3"/>
  <c r="H41" i="3"/>
  <c r="H13" i="3"/>
  <c r="F101" i="3"/>
  <c r="F93" i="3"/>
  <c r="F89" i="3"/>
  <c r="F87" i="3"/>
  <c r="F79" i="3"/>
  <c r="F71" i="3"/>
  <c r="F63" i="3"/>
  <c r="F59" i="3"/>
  <c r="F47" i="3"/>
  <c r="J39" i="2"/>
  <c r="H36" i="2"/>
  <c r="H82" i="3"/>
  <c r="H78" i="3"/>
  <c r="H74" i="3"/>
  <c r="H70" i="3"/>
  <c r="H66" i="3"/>
  <c r="H62" i="3"/>
  <c r="H58" i="3"/>
  <c r="H54" i="3"/>
  <c r="H50" i="3"/>
  <c r="H46" i="3"/>
  <c r="H42" i="3"/>
  <c r="K27" i="4"/>
  <c r="K19" i="4"/>
  <c r="G85" i="3"/>
  <c r="F55" i="3"/>
  <c r="F51" i="3"/>
  <c r="F39" i="3"/>
  <c r="H79" i="3"/>
  <c r="H75" i="3"/>
  <c r="H71" i="3"/>
  <c r="H67" i="3"/>
  <c r="H63" i="3"/>
  <c r="H59" i="3"/>
  <c r="H55" i="3"/>
  <c r="H51" i="3"/>
  <c r="H47" i="3"/>
  <c r="H43" i="3"/>
  <c r="H39" i="3"/>
  <c r="K29" i="2"/>
  <c r="K21" i="2"/>
  <c r="K17" i="2"/>
  <c r="J21" i="2"/>
  <c r="J17" i="2"/>
  <c r="H34" i="3"/>
  <c r="H30" i="3"/>
  <c r="H26" i="3"/>
  <c r="H22" i="3"/>
  <c r="H18" i="3"/>
  <c r="H14" i="3"/>
  <c r="I34" i="4"/>
  <c r="K33" i="4"/>
  <c r="J33" i="4"/>
  <c r="I32" i="4"/>
  <c r="J28" i="4"/>
  <c r="H27" i="4"/>
  <c r="J24" i="4"/>
  <c r="H19" i="4"/>
  <c r="K18" i="4"/>
  <c r="K34" i="4"/>
  <c r="J34" i="4"/>
  <c r="I30" i="4"/>
  <c r="K29" i="4"/>
  <c r="L59" i="2"/>
  <c r="H56" i="2"/>
  <c r="H59" i="2"/>
  <c r="J48" i="2"/>
  <c r="H40" i="2"/>
  <c r="J37" i="2"/>
  <c r="J36" i="2"/>
  <c r="L35" i="2"/>
  <c r="H34" i="2"/>
  <c r="J33" i="2"/>
  <c r="G32" i="2"/>
  <c r="I32" i="2" s="1"/>
  <c r="J16" i="2"/>
  <c r="L16" i="2" s="1"/>
  <c r="H15" i="2"/>
  <c r="H13" i="2"/>
  <c r="J12" i="2"/>
  <c r="H12" i="4"/>
  <c r="J31" i="4"/>
  <c r="K30" i="4"/>
  <c r="J25" i="4"/>
  <c r="H24" i="4"/>
  <c r="H31" i="4"/>
  <c r="I27" i="4"/>
  <c r="K26" i="4"/>
  <c r="H32" i="3"/>
  <c r="H28" i="3"/>
  <c r="H16" i="3"/>
  <c r="H12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83" i="3"/>
  <c r="H24" i="3"/>
  <c r="H20" i="3"/>
  <c r="H84" i="3"/>
  <c r="H31" i="3"/>
  <c r="H27" i="3"/>
  <c r="H23" i="3"/>
  <c r="H19" i="3"/>
  <c r="H15" i="3"/>
  <c r="H33" i="3"/>
  <c r="H29" i="3"/>
  <c r="H25" i="3"/>
  <c r="H21" i="3"/>
  <c r="H17" i="3"/>
  <c r="I23" i="4"/>
  <c r="J22" i="4"/>
  <c r="I21" i="4"/>
  <c r="H21" i="4"/>
  <c r="K20" i="4"/>
  <c r="I31" i="4"/>
  <c r="I28" i="4"/>
  <c r="I24" i="4"/>
  <c r="K23" i="4"/>
  <c r="J23" i="4"/>
  <c r="I22" i="4"/>
  <c r="H22" i="4"/>
  <c r="K21" i="4"/>
  <c r="I20" i="4"/>
  <c r="J65" i="2"/>
  <c r="J53" i="2"/>
  <c r="J52" i="2"/>
  <c r="L51" i="2"/>
  <c r="J64" i="2"/>
  <c r="H52" i="2"/>
  <c r="J51" i="2"/>
  <c r="L63" i="2"/>
  <c r="J61" i="2"/>
  <c r="L55" i="2"/>
  <c r="J60" i="2"/>
  <c r="J55" i="2"/>
  <c r="J43" i="2"/>
  <c r="K32" i="2"/>
  <c r="K30" i="2"/>
  <c r="K28" i="2"/>
  <c r="L28" i="2" s="1"/>
  <c r="K26" i="2"/>
  <c r="K24" i="2"/>
  <c r="K22" i="2"/>
  <c r="J63" i="2"/>
  <c r="J49" i="2"/>
  <c r="J41" i="2"/>
  <c r="J40" i="2"/>
  <c r="K33" i="2"/>
  <c r="J32" i="2"/>
  <c r="J28" i="2"/>
  <c r="H27" i="2"/>
  <c r="H25" i="2"/>
  <c r="K16" i="2"/>
  <c r="K12" i="2"/>
  <c r="K34" i="2"/>
  <c r="H30" i="2"/>
  <c r="J29" i="2"/>
  <c r="G28" i="2"/>
  <c r="I28" i="2" s="1"/>
  <c r="K25" i="2"/>
  <c r="J24" i="2"/>
  <c r="L24" i="2" s="1"/>
  <c r="H23" i="2"/>
  <c r="H21" i="2"/>
  <c r="K20" i="2"/>
  <c r="K18" i="2"/>
  <c r="L18" i="2" s="1"/>
  <c r="G16" i="2"/>
  <c r="K15" i="2"/>
  <c r="K13" i="2"/>
  <c r="H64" i="2"/>
  <c r="H60" i="2"/>
  <c r="H48" i="2"/>
  <c r="H44" i="2"/>
  <c r="H33" i="2"/>
  <c r="L33" i="2" s="1"/>
  <c r="H26" i="2"/>
  <c r="J25" i="2"/>
  <c r="G24" i="2"/>
  <c r="J20" i="2"/>
  <c r="H19" i="2"/>
  <c r="H17" i="2"/>
  <c r="J15" i="2"/>
  <c r="H14" i="2"/>
  <c r="H12" i="2"/>
  <c r="H31" i="2"/>
  <c r="H29" i="2"/>
  <c r="H22" i="2"/>
  <c r="G20" i="2"/>
  <c r="G15" i="2"/>
  <c r="I15" i="2" s="1"/>
  <c r="J34" i="2"/>
  <c r="G33" i="2"/>
  <c r="K31" i="2"/>
  <c r="J30" i="2"/>
  <c r="G29" i="2"/>
  <c r="I29" i="2" s="1"/>
  <c r="K27" i="2"/>
  <c r="J26" i="2"/>
  <c r="G25" i="2"/>
  <c r="K23" i="2"/>
  <c r="J22" i="2"/>
  <c r="G21" i="2"/>
  <c r="K19" i="2"/>
  <c r="J18" i="2"/>
  <c r="G17" i="2"/>
  <c r="K14" i="2"/>
  <c r="J13" i="2"/>
  <c r="G12" i="2"/>
  <c r="I12" i="2" s="1"/>
  <c r="G34" i="3"/>
  <c r="G32" i="3"/>
  <c r="G30" i="3"/>
  <c r="G28" i="3"/>
  <c r="G26" i="3"/>
  <c r="G24" i="3"/>
  <c r="G22" i="3"/>
  <c r="G20" i="3"/>
  <c r="G18" i="3"/>
  <c r="G16" i="3"/>
  <c r="G14" i="3"/>
  <c r="G12" i="3"/>
  <c r="H34" i="4"/>
  <c r="H33" i="4"/>
  <c r="H32" i="4"/>
  <c r="J30" i="4"/>
  <c r="J29" i="4"/>
  <c r="H28" i="4"/>
  <c r="J27" i="4"/>
  <c r="J26" i="4"/>
  <c r="H25" i="4"/>
  <c r="H23" i="4"/>
  <c r="K22" i="4"/>
  <c r="J20" i="4"/>
  <c r="I19" i="4"/>
  <c r="J17" i="4"/>
  <c r="J16" i="4"/>
  <c r="J15" i="4"/>
  <c r="J14" i="4"/>
  <c r="G34" i="2"/>
  <c r="J31" i="2"/>
  <c r="G30" i="2"/>
  <c r="J27" i="2"/>
  <c r="G26" i="2"/>
  <c r="J23" i="2"/>
  <c r="G22" i="2"/>
  <c r="J19" i="2"/>
  <c r="G18" i="2"/>
  <c r="J14" i="2"/>
  <c r="G13" i="2"/>
  <c r="I13" i="2" s="1"/>
  <c r="K31" i="4"/>
  <c r="I29" i="4"/>
  <c r="H29" i="4"/>
  <c r="K28" i="4"/>
  <c r="H26" i="4"/>
  <c r="K25" i="4"/>
  <c r="K24" i="4"/>
  <c r="J21" i="4"/>
  <c r="H20" i="4"/>
  <c r="J19" i="4"/>
  <c r="J18" i="4"/>
  <c r="H17" i="4"/>
  <c r="H15" i="4"/>
  <c r="I14" i="4"/>
  <c r="H14" i="4"/>
  <c r="H13" i="4"/>
  <c r="G31" i="2"/>
  <c r="I31" i="2" s="1"/>
  <c r="G27" i="2"/>
  <c r="G23" i="2"/>
  <c r="I23" i="2" s="1"/>
  <c r="G19" i="2"/>
  <c r="I19" i="2" s="1"/>
  <c r="G14" i="2"/>
  <c r="I14" i="2" s="1"/>
  <c r="H35" i="3"/>
  <c r="G35" i="3"/>
  <c r="H54" i="2"/>
  <c r="L54" i="2"/>
  <c r="H50" i="2"/>
  <c r="L50" i="2"/>
  <c r="H62" i="2"/>
  <c r="L62" i="2"/>
  <c r="H46" i="2"/>
  <c r="L46" i="2"/>
  <c r="H38" i="2"/>
  <c r="L38" i="2"/>
  <c r="H37" i="3"/>
  <c r="G37" i="3"/>
  <c r="L66" i="2"/>
  <c r="J54" i="2"/>
  <c r="J66" i="2"/>
  <c r="H58" i="2"/>
  <c r="L58" i="2"/>
  <c r="J50" i="2"/>
  <c r="H42" i="2"/>
  <c r="L42" i="2"/>
  <c r="F38" i="3"/>
  <c r="H38" i="3"/>
  <c r="H36" i="3"/>
  <c r="G36" i="3"/>
  <c r="I34" i="2"/>
  <c r="I33" i="2"/>
  <c r="I26" i="2"/>
  <c r="I24" i="2"/>
  <c r="I20" i="2"/>
  <c r="I18" i="2"/>
  <c r="I16" i="2"/>
  <c r="F33" i="3"/>
  <c r="F31" i="3"/>
  <c r="F29" i="3"/>
  <c r="F27" i="3"/>
  <c r="F25" i="3"/>
  <c r="F23" i="3"/>
  <c r="F21" i="3"/>
  <c r="F19" i="3"/>
  <c r="F17" i="3"/>
  <c r="F15" i="3"/>
  <c r="F13" i="3"/>
  <c r="H65" i="2"/>
  <c r="H61" i="2"/>
  <c r="H57" i="2"/>
  <c r="H53" i="2"/>
  <c r="H49" i="2"/>
  <c r="H45" i="2"/>
  <c r="H41" i="2"/>
  <c r="H37" i="2"/>
  <c r="H90" i="3"/>
  <c r="H89" i="3"/>
  <c r="H88" i="3"/>
  <c r="H87" i="3"/>
  <c r="H86" i="3"/>
  <c r="H85" i="3"/>
  <c r="F34" i="3"/>
  <c r="F32" i="3"/>
  <c r="F30" i="3"/>
  <c r="F28" i="3"/>
  <c r="F26" i="3"/>
  <c r="F24" i="3"/>
  <c r="F22" i="3"/>
  <c r="F20" i="3"/>
  <c r="F18" i="3"/>
  <c r="F16" i="3"/>
  <c r="F14" i="3"/>
  <c r="F12" i="3"/>
  <c r="I33" i="4"/>
  <c r="I26" i="4"/>
  <c r="I25" i="4"/>
  <c r="I18" i="4"/>
  <c r="I17" i="4"/>
  <c r="J13" i="4"/>
  <c r="G33" i="3"/>
  <c r="G31" i="3"/>
  <c r="G29" i="3"/>
  <c r="G27" i="3"/>
  <c r="G25" i="3"/>
  <c r="G23" i="3"/>
  <c r="G21" i="3"/>
  <c r="G19" i="3"/>
  <c r="G17" i="3"/>
  <c r="G15" i="3"/>
  <c r="G13" i="3"/>
  <c r="J32" i="4"/>
  <c r="J12" i="4"/>
  <c r="K32" i="4"/>
  <c r="K12" i="4"/>
  <c r="K13" i="4"/>
  <c r="G91" i="3"/>
  <c r="L12" i="2"/>
  <c r="L32" i="2"/>
  <c r="L26" i="2"/>
  <c r="L29" i="2"/>
  <c r="K115" i="4"/>
  <c r="K116" i="4"/>
  <c r="G2" i="4"/>
  <c r="G3" i="4"/>
  <c r="G4" i="4"/>
  <c r="G5" i="4"/>
  <c r="G6" i="4"/>
  <c r="G7" i="4"/>
  <c r="G8" i="4"/>
  <c r="G9" i="4"/>
  <c r="G10" i="4"/>
  <c r="G11" i="4"/>
  <c r="F2" i="4"/>
  <c r="F3" i="4"/>
  <c r="F4" i="4"/>
  <c r="F5" i="4"/>
  <c r="F6" i="4"/>
  <c r="F7" i="4"/>
  <c r="F8" i="4"/>
  <c r="F9" i="4"/>
  <c r="F10" i="4"/>
  <c r="F11" i="4"/>
  <c r="F115" i="4"/>
  <c r="F116" i="4"/>
  <c r="E2" i="4"/>
  <c r="E3" i="4"/>
  <c r="E4" i="4"/>
  <c r="E5" i="4"/>
  <c r="E6" i="4"/>
  <c r="E7" i="4"/>
  <c r="E8" i="4"/>
  <c r="E9" i="4"/>
  <c r="E10" i="4"/>
  <c r="E11" i="4"/>
  <c r="D2" i="4"/>
  <c r="D3" i="4"/>
  <c r="D4" i="4"/>
  <c r="D5" i="4"/>
  <c r="D6" i="4"/>
  <c r="D7" i="4"/>
  <c r="D8" i="4"/>
  <c r="D9" i="4"/>
  <c r="D10" i="4"/>
  <c r="D11" i="4"/>
  <c r="C2" i="4"/>
  <c r="C3" i="4"/>
  <c r="C4" i="4"/>
  <c r="J4" i="4" s="1"/>
  <c r="C5" i="4"/>
  <c r="J5" i="4" s="1"/>
  <c r="C6" i="4"/>
  <c r="C7" i="4"/>
  <c r="C8" i="4"/>
  <c r="J8" i="4" s="1"/>
  <c r="C9" i="4"/>
  <c r="J9" i="4" s="1"/>
  <c r="C10" i="4"/>
  <c r="C1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" i="4"/>
  <c r="A2" i="4"/>
  <c r="A3" i="4"/>
  <c r="A4" i="4"/>
  <c r="A5" i="4"/>
  <c r="A6" i="4"/>
  <c r="A7" i="4"/>
  <c r="A8" i="4"/>
  <c r="A9" i="4"/>
  <c r="A10" i="4"/>
  <c r="A11" i="4"/>
  <c r="A115" i="4"/>
  <c r="A116" i="4"/>
  <c r="A117" i="4"/>
  <c r="A118" i="4"/>
  <c r="A119" i="4"/>
  <c r="A120" i="4"/>
  <c r="A121" i="4"/>
  <c r="A122" i="4"/>
  <c r="A123" i="4"/>
  <c r="A124" i="4"/>
  <c r="A1" i="4"/>
  <c r="A1" i="3"/>
  <c r="E2" i="3"/>
  <c r="E3" i="3"/>
  <c r="E4" i="3"/>
  <c r="E5" i="3"/>
  <c r="E6" i="3"/>
  <c r="E7" i="3"/>
  <c r="E8" i="3"/>
  <c r="E9" i="3"/>
  <c r="E10" i="3"/>
  <c r="E11" i="3"/>
  <c r="E113" i="3"/>
  <c r="E114" i="3"/>
  <c r="E115" i="3"/>
  <c r="E116" i="3"/>
  <c r="E117" i="3"/>
  <c r="E118" i="3"/>
  <c r="E119" i="3"/>
  <c r="E120" i="3"/>
  <c r="E121" i="3"/>
  <c r="E122" i="3"/>
  <c r="E1" i="3"/>
  <c r="D1" i="3"/>
  <c r="D2" i="3"/>
  <c r="D3" i="3"/>
  <c r="D4" i="3"/>
  <c r="D5" i="3"/>
  <c r="D6" i="3"/>
  <c r="D7" i="3"/>
  <c r="D8" i="3"/>
  <c r="D9" i="3"/>
  <c r="D10" i="3"/>
  <c r="D11" i="3"/>
  <c r="C1" i="3"/>
  <c r="C2" i="3"/>
  <c r="C3" i="3"/>
  <c r="C4" i="3"/>
  <c r="C5" i="3"/>
  <c r="C6" i="3"/>
  <c r="C7" i="3"/>
  <c r="C8" i="3"/>
  <c r="C9" i="3"/>
  <c r="C10" i="3"/>
  <c r="C11" i="3"/>
  <c r="B1" i="3"/>
  <c r="B2" i="3"/>
  <c r="B3" i="3"/>
  <c r="B4" i="3"/>
  <c r="H4" i="3" s="1"/>
  <c r="B5" i="3"/>
  <c r="B6" i="3"/>
  <c r="B7" i="3"/>
  <c r="B8" i="3"/>
  <c r="B9" i="3"/>
  <c r="B10" i="3"/>
  <c r="B11" i="3"/>
  <c r="B1" i="2"/>
  <c r="A2" i="3"/>
  <c r="A3" i="3"/>
  <c r="A4" i="3"/>
  <c r="A5" i="3"/>
  <c r="A6" i="3"/>
  <c r="A7" i="3"/>
  <c r="A8" i="3"/>
  <c r="A9" i="3"/>
  <c r="A10" i="3"/>
  <c r="A11" i="3"/>
  <c r="A2" i="2"/>
  <c r="L67" i="2"/>
  <c r="L68" i="2"/>
  <c r="F2" i="2"/>
  <c r="F3" i="2"/>
  <c r="F4" i="2"/>
  <c r="F5" i="2"/>
  <c r="F6" i="2"/>
  <c r="F7" i="2"/>
  <c r="F8" i="2"/>
  <c r="F9" i="2"/>
  <c r="F10" i="2"/>
  <c r="F11" i="2"/>
  <c r="F1" i="2"/>
  <c r="E1" i="2"/>
  <c r="E2" i="2"/>
  <c r="K2" i="2" s="1"/>
  <c r="E3" i="2"/>
  <c r="E4" i="2"/>
  <c r="E5" i="2"/>
  <c r="K5" i="2" s="1"/>
  <c r="E6" i="2"/>
  <c r="K6" i="2" s="1"/>
  <c r="E7" i="2"/>
  <c r="K7" i="2" s="1"/>
  <c r="E8" i="2"/>
  <c r="E9" i="2"/>
  <c r="K9" i="2" s="1"/>
  <c r="E10" i="2"/>
  <c r="K10" i="2" s="1"/>
  <c r="E11" i="2"/>
  <c r="D1" i="2"/>
  <c r="D2" i="2"/>
  <c r="D3" i="2"/>
  <c r="D4" i="2"/>
  <c r="D5" i="2"/>
  <c r="D6" i="2"/>
  <c r="D7" i="2"/>
  <c r="D8" i="2"/>
  <c r="D9" i="2"/>
  <c r="D10" i="2"/>
  <c r="D11" i="2"/>
  <c r="D67" i="2"/>
  <c r="D68" i="2"/>
  <c r="C2" i="2"/>
  <c r="C3" i="2"/>
  <c r="C4" i="2"/>
  <c r="C5" i="2"/>
  <c r="C6" i="2"/>
  <c r="C7" i="2"/>
  <c r="C8" i="2"/>
  <c r="C9" i="2"/>
  <c r="C10" i="2"/>
  <c r="C11" i="2"/>
  <c r="C1" i="2"/>
  <c r="B2" i="2"/>
  <c r="B3" i="2"/>
  <c r="B4" i="2"/>
  <c r="B5" i="2"/>
  <c r="B6" i="2"/>
  <c r="B7" i="2"/>
  <c r="B8" i="2"/>
  <c r="B9" i="2"/>
  <c r="B10" i="2"/>
  <c r="B11" i="2"/>
  <c r="A1" i="2"/>
  <c r="A3" i="2"/>
  <c r="A4" i="2"/>
  <c r="A5" i="2"/>
  <c r="A6" i="2"/>
  <c r="A7" i="2"/>
  <c r="A8" i="2"/>
  <c r="A9" i="2"/>
  <c r="A10" i="2"/>
  <c r="A11" i="2"/>
  <c r="I30" i="2" l="1"/>
  <c r="F11" i="3"/>
  <c r="F7" i="3"/>
  <c r="L15" i="2"/>
  <c r="F8" i="3"/>
  <c r="G10" i="3"/>
  <c r="F2" i="3"/>
  <c r="K11" i="4"/>
  <c r="K7" i="4"/>
  <c r="K3" i="4"/>
  <c r="H10" i="4"/>
  <c r="H6" i="4"/>
  <c r="H2" i="4"/>
  <c r="I22" i="2"/>
  <c r="L20" i="2"/>
  <c r="L34" i="2"/>
  <c r="I27" i="2"/>
  <c r="L22" i="2"/>
  <c r="L14" i="2"/>
  <c r="L19" i="2"/>
  <c r="I25" i="2"/>
  <c r="I17" i="2"/>
  <c r="L23" i="2"/>
  <c r="L13" i="2"/>
  <c r="L30" i="2"/>
  <c r="L31" i="2"/>
  <c r="L25" i="2"/>
  <c r="I21" i="2"/>
  <c r="H8" i="2"/>
  <c r="J4" i="2"/>
  <c r="L27" i="2"/>
  <c r="J2" i="2"/>
  <c r="L17" i="2"/>
  <c r="L21" i="2"/>
  <c r="H9" i="2"/>
  <c r="H5" i="2"/>
  <c r="G11" i="2"/>
  <c r="G7" i="2"/>
  <c r="G3" i="2"/>
  <c r="J11" i="2"/>
  <c r="J7" i="2"/>
  <c r="J3" i="2"/>
  <c r="F9" i="3"/>
  <c r="H11" i="4"/>
  <c r="H7" i="4"/>
  <c r="H3" i="4"/>
  <c r="I8" i="4"/>
  <c r="K10" i="4"/>
  <c r="K6" i="4"/>
  <c r="K2" i="4"/>
  <c r="I11" i="4"/>
  <c r="I7" i="4"/>
  <c r="I3" i="4"/>
  <c r="G8" i="2"/>
  <c r="G4" i="2"/>
  <c r="H9" i="4"/>
  <c r="H5" i="4"/>
  <c r="H4" i="2"/>
  <c r="K8" i="2"/>
  <c r="K4" i="2"/>
  <c r="J8" i="2"/>
  <c r="H4" i="4"/>
  <c r="H7" i="2"/>
  <c r="G9" i="2"/>
  <c r="G5" i="2"/>
  <c r="I5" i="2" s="1"/>
  <c r="I4" i="4"/>
  <c r="K11" i="2"/>
  <c r="H11" i="2"/>
  <c r="K3" i="2"/>
  <c r="H3" i="2"/>
  <c r="H8" i="4"/>
  <c r="H2" i="2"/>
  <c r="L2" i="2" s="1"/>
  <c r="H10" i="3"/>
  <c r="F10" i="3"/>
  <c r="H6" i="3"/>
  <c r="G6" i="3"/>
  <c r="F6" i="3"/>
  <c r="G2" i="3"/>
  <c r="H2" i="3"/>
  <c r="G6" i="2"/>
  <c r="G4" i="3"/>
  <c r="J11" i="4"/>
  <c r="J7" i="4"/>
  <c r="J3" i="4"/>
  <c r="I10" i="4"/>
  <c r="I6" i="4"/>
  <c r="I2" i="4"/>
  <c r="K9" i="4"/>
  <c r="K5" i="4"/>
  <c r="G10" i="2"/>
  <c r="G2" i="2"/>
  <c r="G8" i="3"/>
  <c r="G11" i="3"/>
  <c r="H7" i="3"/>
  <c r="H3" i="3"/>
  <c r="F3" i="3"/>
  <c r="J10" i="4"/>
  <c r="J6" i="4"/>
  <c r="J2" i="4"/>
  <c r="I9" i="4"/>
  <c r="I5" i="4"/>
  <c r="K8" i="4"/>
  <c r="K4" i="4"/>
  <c r="H9" i="3"/>
  <c r="H8" i="3"/>
  <c r="J9" i="2"/>
  <c r="H5" i="3"/>
  <c r="F5" i="3"/>
  <c r="G9" i="3"/>
  <c r="J10" i="2"/>
  <c r="H10" i="2"/>
  <c r="J6" i="2"/>
  <c r="H6" i="2"/>
  <c r="J5" i="2"/>
  <c r="L5" i="2" s="1"/>
  <c r="F4" i="3"/>
  <c r="G5" i="3"/>
  <c r="H11" i="3"/>
  <c r="G7" i="3"/>
  <c r="G3" i="3"/>
  <c r="L10" i="2" l="1"/>
  <c r="I3" i="2"/>
  <c r="L11" i="2"/>
  <c r="L7" i="2"/>
  <c r="L4" i="2"/>
  <c r="I8" i="2"/>
  <c r="I2" i="2"/>
  <c r="L3" i="2"/>
  <c r="I4" i="2"/>
  <c r="I7" i="2"/>
  <c r="L8" i="2"/>
  <c r="L9" i="2"/>
  <c r="I9" i="2"/>
  <c r="I11" i="2"/>
  <c r="L6" i="2"/>
  <c r="I10" i="2"/>
  <c r="I6" i="2"/>
</calcChain>
</file>

<file path=xl/connections.xml><?xml version="1.0" encoding="utf-8"?>
<connections xmlns="http://schemas.openxmlformats.org/spreadsheetml/2006/main">
  <connection id="1" name="closing" type="6" refreshedVersion="6" background="1" saveData="1">
    <textPr codePage="65001" sourceFile="C:\msys64\home\kohei.nakaji\python\closing-analysis\build\closing.csv" tab="0" comma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<sst xmlns="http://schemas.openxmlformats.org/spreadsheetml/2006/main" count="13" uniqueCount="13">
  <si>
    <t>売上高利益率</t>
    <rPh sb="0" eb="2">
      <t>ウリアゲ</t>
    </rPh>
    <rPh sb="2" eb="3">
      <t>ダカ</t>
    </rPh>
    <rPh sb="3" eb="5">
      <t>リエキ</t>
    </rPh>
    <rPh sb="5" eb="6">
      <t>リツ</t>
    </rPh>
    <phoneticPr fontId="1"/>
  </si>
  <si>
    <t>総資産回転率</t>
    <rPh sb="0" eb="3">
      <t>ソウシサン</t>
    </rPh>
    <rPh sb="3" eb="5">
      <t>カイテン</t>
    </rPh>
    <rPh sb="5" eb="6">
      <t>リツ</t>
    </rPh>
    <phoneticPr fontId="1"/>
  </si>
  <si>
    <t>ROA(経常利益)</t>
  </si>
  <si>
    <t>売上高当期純利益率</t>
    <rPh sb="0" eb="2">
      <t>ウリアゲ</t>
    </rPh>
    <rPh sb="2" eb="3">
      <t>ダカ</t>
    </rPh>
    <rPh sb="3" eb="5">
      <t>トウキ</t>
    </rPh>
    <rPh sb="5" eb="8">
      <t>ジュンリエキ</t>
    </rPh>
    <rPh sb="8" eb="9">
      <t>リツ</t>
    </rPh>
    <phoneticPr fontId="1"/>
  </si>
  <si>
    <t>財務レバレッジ</t>
    <rPh sb="0" eb="2">
      <t>ザイム</t>
    </rPh>
    <phoneticPr fontId="1"/>
  </si>
  <si>
    <t>ROE(当期純利益)</t>
    <rPh sb="4" eb="6">
      <t>トウキ</t>
    </rPh>
    <rPh sb="6" eb="9">
      <t>ジュンリエキ</t>
    </rPh>
    <phoneticPr fontId="1"/>
  </si>
  <si>
    <t>営業利益率</t>
    <rPh sb="0" eb="2">
      <t>エイギョウ</t>
    </rPh>
    <rPh sb="2" eb="4">
      <t>リエキ</t>
    </rPh>
    <rPh sb="4" eb="5">
      <t>リツ</t>
    </rPh>
    <phoneticPr fontId="1"/>
  </si>
  <si>
    <t>経常利益率</t>
    <rPh sb="0" eb="2">
      <t>ケイジョウ</t>
    </rPh>
    <rPh sb="2" eb="4">
      <t>リエキ</t>
    </rPh>
    <rPh sb="4" eb="5">
      <t>リツ</t>
    </rPh>
    <phoneticPr fontId="1"/>
  </si>
  <si>
    <t>純利益率</t>
    <rPh sb="0" eb="3">
      <t>ジュンリエキ</t>
    </rPh>
    <rPh sb="3" eb="4">
      <t>リツ</t>
    </rPh>
    <phoneticPr fontId="1"/>
  </si>
  <si>
    <t>前期売上高成長率</t>
    <rPh sb="0" eb="2">
      <t>ゼンキ</t>
    </rPh>
    <rPh sb="2" eb="4">
      <t>ウリアゲ</t>
    </rPh>
    <rPh sb="4" eb="5">
      <t>ダカ</t>
    </rPh>
    <rPh sb="5" eb="8">
      <t>セイチョウリツ</t>
    </rPh>
    <phoneticPr fontId="1"/>
  </si>
  <si>
    <t>2期前売上高成長率</t>
    <rPh sb="1" eb="2">
      <t>キ</t>
    </rPh>
    <rPh sb="2" eb="3">
      <t>マエ</t>
    </rPh>
    <rPh sb="3" eb="5">
      <t>ウリアゲ</t>
    </rPh>
    <rPh sb="5" eb="6">
      <t>ダカ</t>
    </rPh>
    <rPh sb="6" eb="9">
      <t>セイチョウリツ</t>
    </rPh>
    <phoneticPr fontId="1"/>
  </si>
  <si>
    <t>前期経常利益成長率</t>
    <rPh sb="0" eb="2">
      <t>ゼンキ</t>
    </rPh>
    <rPh sb="2" eb="4">
      <t>ケイジョウ</t>
    </rPh>
    <rPh sb="4" eb="6">
      <t>リエキ</t>
    </rPh>
    <rPh sb="6" eb="9">
      <t>セイチョウリツ</t>
    </rPh>
    <phoneticPr fontId="1"/>
  </si>
  <si>
    <t>2期前経常利益成長率</t>
    <rPh sb="1" eb="2">
      <t>キ</t>
    </rPh>
    <rPh sb="2" eb="3">
      <t>マエ</t>
    </rPh>
    <rPh sb="3" eb="5">
      <t>ケイジョウ</t>
    </rPh>
    <rPh sb="5" eb="7">
      <t>リエキ</t>
    </rPh>
    <rPh sb="7" eb="10">
      <t>セイチョウリツ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</si>
</sst>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7" formatCode="0.0%"/>
    <numFmt numFmtId="178" formatCode="#,##0,,,&quot;十億&quot;&quot;円&quot;;[Red]\-#,##0,,,&quot;十億&quot;&quot;円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31" fontId="0" fillId="0" borderId="0" xfId="0" applyNumberForma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77" fontId="2" fillId="0" borderId="0" xfId="0" applyNumberFormat="1" applyFon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178" fontId="2" fillId="0" borderId="0" xfId="0" applyNumberFormat="1" applyFont="1">
      <alignment vertical="center"/>
    </xf>
    <xf numFmtId="178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closing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9"/>
  <sheetViews>
    <sheetView topLeftCell="H1" workbookViewId="0">
      <selection activeCell="N4" sqref="N4"/>
    </sheetView>
  </sheetViews>
  <sheetFormatPr defaultRowHeight="18.75" x14ac:dyDescent="0.4"/>
  <cols>
    <col min="1" max="1" width="13.375" bestFit="1" customWidth="1"/>
    <col min="2" max="2" width="14.125" bestFit="1" customWidth="1"/>
    <col min="3" max="3" width="13.375" bestFit="1" customWidth="1"/>
    <col min="4" max="4" width="14.125" bestFit="1" customWidth="1"/>
    <col min="5" max="5" width="7.5" bestFit="1" customWidth="1"/>
    <col min="6" max="6" width="8.375" bestFit="1" customWidth="1"/>
    <col min="7" max="7" width="7.5" customWidth="1"/>
    <col min="8" max="8" width="8.375" bestFit="1" customWidth="1"/>
    <col min="9" max="9" width="5.625" bestFit="1" customWidth="1"/>
    <col min="11" max="11" width="31.5" customWidth="1"/>
    <col min="12" max="12" width="12.75" bestFit="1" customWidth="1"/>
    <col min="13" max="13" width="13.375" bestFit="1" customWidth="1"/>
    <col min="14" max="14" width="12.75" bestFit="1" customWidth="1"/>
    <col min="15" max="15" width="13.375" bestFit="1" customWidth="1"/>
    <col min="16" max="16" width="5.25" bestFit="1" customWidth="1"/>
    <col min="18" max="18" width="12.375" customWidth="1"/>
    <col min="19" max="19" width="14.625" customWidth="1"/>
    <col min="20" max="21" width="13.375" bestFit="1" customWidth="1"/>
    <col min="22" max="22" width="17.25" bestFit="1" customWidth="1"/>
    <col min="23" max="23" width="13.375" bestFit="1" customWidth="1"/>
    <col min="24" max="24" width="13" bestFit="1" customWidth="1"/>
    <col min="25" max="25" width="5.25" bestFit="1" customWidth="1"/>
    <col min="26" max="26" width="19.25" bestFit="1" customWidth="1"/>
    <col min="27" max="27" width="12.75" bestFit="1" customWidth="1"/>
  </cols>
  <sheetData>
    <row r="1" spans="1:27" x14ac:dyDescent="0.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x14ac:dyDescent="0.4">
      <c r="A2"/>
      <c r="B2"/>
      <c r="C2"/>
      <c r="D2"/>
      <c r="F2"/>
      <c r="G2"/>
      <c r="H2"/>
      <c r="I2"/>
      <c r="J2"/>
      <c r="K2"/>
      <c r="L2"/>
      <c r="M2"/>
      <c r="N2"/>
      <c r="O2"/>
      <c r="P2"/>
      <c r="Q2"/>
      <c r="R2"/>
      <c r="S2" s="1"/>
      <c r="T2"/>
      <c r="U2"/>
      <c r="V2"/>
      <c r="W2"/>
      <c r="X2"/>
      <c r="Z2"/>
      <c r="AA2"/>
    </row>
    <row r="3" spans="1:27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1"/>
      <c r="T3"/>
      <c r="U3"/>
      <c r="V3"/>
      <c r="W3"/>
      <c r="X3"/>
      <c r="Z3"/>
      <c r="AA3"/>
    </row>
    <row r="4" spans="1:27" x14ac:dyDescent="0.4">
      <c r="A4"/>
      <c r="B4"/>
      <c r="C4"/>
      <c r="D4"/>
      <c r="F4"/>
      <c r="G4"/>
      <c r="H4"/>
      <c r="I4"/>
      <c r="J4"/>
      <c r="K4"/>
      <c r="L4"/>
      <c r="M4"/>
      <c r="N4"/>
      <c r="O4"/>
      <c r="P4"/>
      <c r="Q4"/>
      <c r="R4"/>
      <c r="S4" s="1"/>
      <c r="T4"/>
      <c r="U4"/>
      <c r="V4"/>
      <c r="W4"/>
      <c r="X4"/>
      <c r="Z4"/>
      <c r="AA4"/>
    </row>
    <row r="5" spans="1:27" x14ac:dyDescent="0.4">
      <c r="A5"/>
      <c r="B5"/>
      <c r="C5"/>
      <c r="D5"/>
      <c r="F5"/>
      <c r="G5"/>
      <c r="H5"/>
      <c r="I5"/>
      <c r="J5"/>
      <c r="K5"/>
      <c r="L5"/>
      <c r="M5"/>
      <c r="N5"/>
      <c r="O5"/>
      <c r="P5"/>
      <c r="Q5"/>
      <c r="R5"/>
      <c r="S5" s="1"/>
      <c r="T5"/>
      <c r="U5"/>
      <c r="V5"/>
      <c r="W5"/>
      <c r="X5"/>
      <c r="Z5"/>
      <c r="AA5"/>
    </row>
    <row r="6" spans="1:27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 s="1"/>
      <c r="T6"/>
      <c r="U6"/>
      <c r="V6"/>
      <c r="W6"/>
      <c r="X6"/>
      <c r="Z6"/>
      <c r="AA6"/>
    </row>
    <row r="7" spans="1:27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 s="1"/>
      <c r="T7"/>
      <c r="U7"/>
      <c r="V7"/>
      <c r="W7"/>
      <c r="X7"/>
      <c r="Z7"/>
      <c r="AA7"/>
    </row>
    <row r="8" spans="1:27" x14ac:dyDescent="0.4">
      <c r="A8"/>
      <c r="B8"/>
      <c r="C8"/>
      <c r="D8"/>
      <c r="F8"/>
      <c r="G8"/>
      <c r="H8"/>
      <c r="I8"/>
      <c r="J8"/>
      <c r="K8"/>
      <c r="L8"/>
      <c r="M8"/>
      <c r="N8"/>
      <c r="O8"/>
      <c r="P8"/>
      <c r="Q8"/>
      <c r="R8"/>
      <c r="S8" s="1"/>
      <c r="T8"/>
      <c r="U8"/>
      <c r="V8"/>
      <c r="W8"/>
      <c r="X8"/>
      <c r="Z8"/>
      <c r="AA8"/>
    </row>
    <row r="9" spans="1:27" x14ac:dyDescent="0.4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1"/>
      <c r="T9" s="6"/>
      <c r="U9" s="6"/>
      <c r="V9" s="6"/>
      <c r="W9" s="6"/>
      <c r="X9" s="6"/>
      <c r="Y9" s="6"/>
      <c r="Z9" s="6"/>
      <c r="AA9" s="6"/>
    </row>
  </sheetData>
  <sortState ref="A2:AA34">
    <sortCondition descending="1" ref="M2:M34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8"/>
  <sheetViews>
    <sheetView zoomScale="85" zoomScaleNormal="85" workbookViewId="0">
      <pane ySplit="1" topLeftCell="A2" activePane="bottomLeft" state="frozen"/>
      <selection pane="bottomLeft" activeCell="B3" sqref="B3"/>
    </sheetView>
  </sheetViews>
  <sheetFormatPr defaultRowHeight="18.75" x14ac:dyDescent="0.4"/>
  <cols>
    <col min="1" max="1" width="18.25" customWidth="1"/>
    <col min="2" max="2" width="18" style="10" customWidth="1"/>
    <col min="3" max="3" width="18" hidden="1" customWidth="1"/>
    <col min="4" max="4" width="18" style="4" hidden="1" customWidth="1"/>
    <col min="5" max="5" width="14.375" hidden="1" customWidth="1"/>
    <col min="6" max="6" width="13.375" hidden="1" customWidth="1"/>
    <col min="7" max="7" width="12.125" customWidth="1"/>
    <col min="8" max="8" width="16.625" customWidth="1"/>
    <col min="9" max="9" width="13.625" customWidth="1"/>
    <col min="10" max="10" width="19.5" bestFit="1" customWidth="1"/>
    <col min="11" max="11" width="15.375" bestFit="1" customWidth="1"/>
    <col min="12" max="12" width="17.125" bestFit="1" customWidth="1"/>
  </cols>
  <sheetData>
    <row r="1" spans="1:12" s="3" customFormat="1" ht="18" x14ac:dyDescent="0.4">
      <c r="A1" s="3" t="str">
        <f>IF(raw!K1="","",raw!K1)</f>
        <v>名称</v>
      </c>
      <c r="B1" s="9" t="str">
        <f>IF(raw!M1="","",raw!M1)</f>
        <v>売上高</v>
      </c>
      <c r="C1" s="3" t="str">
        <f>IF(raw!T1="","",raw!T1)</f>
        <v>経常利益</v>
      </c>
      <c r="D1" s="3" t="str">
        <f>IF(raw!N1="","",raw!N1)</f>
        <v>当期利益</v>
      </c>
      <c r="E1" s="3" t="str">
        <f>IF(raw!U1="","",raw!U1)</f>
        <v>総資産</v>
      </c>
      <c r="F1" s="3" t="str">
        <f>IF(raw!W1="","",raw!W1)</f>
        <v>自己資本</v>
      </c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5</v>
      </c>
    </row>
    <row r="2" spans="1:12" x14ac:dyDescent="0.4">
      <c r="A2" t="str">
        <f>IF(raw!K2="","",raw!K2)</f>
        <v>ローソン</v>
      </c>
      <c r="B2" s="10">
        <f>IF(raw!M2="","",raw!M2)</f>
        <v>583452000000</v>
      </c>
      <c r="C2">
        <f>IF(raw!T2="","",raw!T2)</f>
        <v>69622000000</v>
      </c>
      <c r="D2" s="4">
        <f>IF(raw!N2="","",raw!N2)</f>
        <v>31381000000</v>
      </c>
      <c r="E2">
        <f>IF(raw!U2="","",raw!U2)</f>
        <v>803212000000</v>
      </c>
      <c r="F2">
        <f>IF(raw!W2="","",raw!W2)</f>
        <v>264394000000</v>
      </c>
      <c r="G2" s="2">
        <f t="shared" ref="G2:G33" si="0">IF(C2="","",ROUND(C2/B2,3))</f>
        <v>0.11899999999999999</v>
      </c>
      <c r="H2" s="2">
        <f t="shared" ref="H2:H33" si="1">IF(B2="","",ROUND(B2/E2,3))</f>
        <v>0.72599999999999998</v>
      </c>
      <c r="I2" s="4">
        <f t="shared" ref="I2:I33" si="2">IF(G2="","",ROUND(G2*H2,3))</f>
        <v>8.5999999999999993E-2</v>
      </c>
      <c r="J2" s="2">
        <f t="shared" ref="J2:J33" si="3">IF(B2="","",ROUND(D2/B2,3))</f>
        <v>5.3999999999999999E-2</v>
      </c>
      <c r="K2" s="2">
        <f t="shared" ref="K2:K33" si="4">IF(E2="","",ROUND(E2/F2,3))</f>
        <v>3.0379999999999998</v>
      </c>
      <c r="L2" s="2">
        <f t="shared" ref="L2:L33" si="5">IF(B2="","",ROUND(H2*K2*J2,3))</f>
        <v>0.11899999999999999</v>
      </c>
    </row>
    <row r="3" spans="1:12" x14ac:dyDescent="0.4">
      <c r="A3" t="str">
        <f>IF(raw!K3="","",raw!K3)</f>
        <v>シー・ヴイ・エス・ベイエリア</v>
      </c>
      <c r="B3" s="10">
        <f>IF(raw!M3="","",raw!M3)</f>
        <v>29193000000</v>
      </c>
      <c r="C3">
        <f>IF(raw!T3="","",raw!T3)</f>
        <v>145000000</v>
      </c>
      <c r="D3" s="4">
        <f>IF(raw!N3="","",raw!N3)</f>
        <v>198000000</v>
      </c>
      <c r="E3">
        <f>IF(raw!U3="","",raw!U3)</f>
        <v>12647000000</v>
      </c>
      <c r="F3">
        <f>IF(raw!W3="","",raw!W3)</f>
        <v>2172000000</v>
      </c>
      <c r="G3" s="2">
        <f t="shared" si="0"/>
        <v>5.0000000000000001E-3</v>
      </c>
      <c r="H3" s="2">
        <f t="shared" si="1"/>
        <v>2.3079999999999998</v>
      </c>
      <c r="I3" s="4">
        <f t="shared" si="2"/>
        <v>1.2E-2</v>
      </c>
      <c r="J3" s="2">
        <f t="shared" si="3"/>
        <v>7.0000000000000001E-3</v>
      </c>
      <c r="K3" s="2">
        <f t="shared" si="4"/>
        <v>5.8230000000000004</v>
      </c>
      <c r="L3" s="2">
        <f t="shared" si="5"/>
        <v>9.4E-2</v>
      </c>
    </row>
    <row r="4" spans="1:12" x14ac:dyDescent="0.4">
      <c r="A4" t="str">
        <f>IF(raw!K4="","",raw!K4)</f>
        <v>サークルＫサンクス</v>
      </c>
      <c r="B4" s="10">
        <f>IF(raw!M4="","",raw!M4)</f>
        <v>187799000000</v>
      </c>
      <c r="C4">
        <f>IF(raw!T4="","",raw!T4)</f>
        <v>21338000000</v>
      </c>
      <c r="D4" s="4">
        <f>IF(raw!N4="","",raw!N4)</f>
        <v>9378000000</v>
      </c>
      <c r="E4">
        <f>IF(raw!U4="","",raw!U4)</f>
        <v>257585000000</v>
      </c>
      <c r="F4">
        <f>IF(raw!W4="","",raw!W4)</f>
        <v>142782000000</v>
      </c>
      <c r="G4" s="2">
        <f t="shared" si="0"/>
        <v>0.114</v>
      </c>
      <c r="H4" s="2">
        <f t="shared" si="1"/>
        <v>0.72899999999999998</v>
      </c>
      <c r="I4" s="4">
        <f t="shared" si="2"/>
        <v>8.3000000000000004E-2</v>
      </c>
      <c r="J4" s="2">
        <f t="shared" si="3"/>
        <v>0.05</v>
      </c>
      <c r="K4" s="2">
        <f t="shared" si="4"/>
        <v>1.804</v>
      </c>
      <c r="L4" s="2">
        <f t="shared" si="5"/>
        <v>6.6000000000000003E-2</v>
      </c>
    </row>
    <row r="5" spans="1:12" x14ac:dyDescent="0.4">
      <c r="A5" t="str">
        <f>IF(raw!K5="","",raw!K5)</f>
        <v>セブン＆アイ・ホールディングス</v>
      </c>
      <c r="B5" s="10">
        <f>IF(raw!M5="","",raw!M5)</f>
        <v>6045704000000</v>
      </c>
      <c r="C5">
        <f>IF(raw!T5="","",raw!T5)</f>
        <v>350165000000</v>
      </c>
      <c r="D5" s="4">
        <f>IF(raw!N5="","",raw!N5)</f>
        <v>160930000000</v>
      </c>
      <c r="E5">
        <f>IF(raw!U5="","",raw!U5)</f>
        <v>5441691000000</v>
      </c>
      <c r="F5">
        <f>IF(raw!W5="","",raw!W5)</f>
        <v>2372275000000</v>
      </c>
      <c r="G5" s="2">
        <f t="shared" si="0"/>
        <v>5.8000000000000003E-2</v>
      </c>
      <c r="H5" s="2">
        <f t="shared" si="1"/>
        <v>1.111</v>
      </c>
      <c r="I5" s="4">
        <f t="shared" si="2"/>
        <v>6.4000000000000001E-2</v>
      </c>
      <c r="J5" s="2">
        <f t="shared" si="3"/>
        <v>2.7E-2</v>
      </c>
      <c r="K5" s="2">
        <f t="shared" si="4"/>
        <v>2.294</v>
      </c>
      <c r="L5" s="2">
        <f t="shared" si="5"/>
        <v>6.9000000000000006E-2</v>
      </c>
    </row>
    <row r="6" spans="1:12" x14ac:dyDescent="0.4">
      <c r="A6" t="str">
        <f>IF(raw!K6="","",raw!K6)</f>
        <v>スリーエフ</v>
      </c>
      <c r="B6" s="10">
        <f>IF(raw!M6="","",raw!M6)</f>
        <v>19036000000</v>
      </c>
      <c r="C6">
        <f>IF(raw!T6="","",raw!T6)</f>
        <v>-862000000</v>
      </c>
      <c r="D6" s="4">
        <f>IF(raw!N6="","",raw!N6)</f>
        <v>-2542000000</v>
      </c>
      <c r="E6">
        <f>IF(raw!U6="","",raw!U6)</f>
        <v>13577000000</v>
      </c>
      <c r="F6">
        <f>IF(raw!W6="","",raw!W6)</f>
        <v>1349000000</v>
      </c>
      <c r="G6" s="2">
        <f t="shared" si="0"/>
        <v>-4.4999999999999998E-2</v>
      </c>
      <c r="H6" s="2">
        <f t="shared" si="1"/>
        <v>1.4019999999999999</v>
      </c>
      <c r="I6" s="4">
        <f t="shared" si="2"/>
        <v>-6.3E-2</v>
      </c>
      <c r="J6" s="2">
        <f t="shared" si="3"/>
        <v>-0.13400000000000001</v>
      </c>
      <c r="K6" s="2">
        <f t="shared" si="4"/>
        <v>10.064</v>
      </c>
      <c r="L6" s="2">
        <f t="shared" si="5"/>
        <v>-1.891</v>
      </c>
    </row>
    <row r="7" spans="1:12" x14ac:dyDescent="0.4">
      <c r="A7" t="str">
        <f>IF(raw!K7="","",raw!K7)</f>
        <v>ポプラ</v>
      </c>
      <c r="B7" s="10">
        <f>IF(raw!M7="","",raw!M7)</f>
        <v>38777000000</v>
      </c>
      <c r="C7">
        <f>IF(raw!T7="","",raw!T7)</f>
        <v>129000000</v>
      </c>
      <c r="D7" s="4">
        <f>IF(raw!N7="","",raw!N7)</f>
        <v>60000000</v>
      </c>
      <c r="E7">
        <f>IF(raw!U7="","",raw!U7)</f>
        <v>12628000000</v>
      </c>
      <c r="F7">
        <f>IF(raw!W7="","",raw!W7)</f>
        <v>2893000000</v>
      </c>
      <c r="G7" s="2">
        <f t="shared" si="0"/>
        <v>3.0000000000000001E-3</v>
      </c>
      <c r="H7" s="2">
        <f t="shared" si="1"/>
        <v>3.0710000000000002</v>
      </c>
      <c r="I7" s="4">
        <f t="shared" si="2"/>
        <v>8.9999999999999993E-3</v>
      </c>
      <c r="J7" s="2">
        <f t="shared" si="3"/>
        <v>2E-3</v>
      </c>
      <c r="K7" s="2">
        <f t="shared" si="4"/>
        <v>4.3650000000000002</v>
      </c>
      <c r="L7" s="2">
        <f t="shared" si="5"/>
        <v>2.7E-2</v>
      </c>
    </row>
    <row r="8" spans="1:12" x14ac:dyDescent="0.4">
      <c r="A8" t="str">
        <f>IF(raw!K8="","",raw!K8)</f>
        <v>ファミリーマート</v>
      </c>
      <c r="B8" s="10">
        <f>IF(raw!M8="","",raw!M8)</f>
        <v>427676000000</v>
      </c>
      <c r="C8">
        <f>IF(raw!T8="","",raw!T8)</f>
        <v>51888000000</v>
      </c>
      <c r="D8" s="4">
        <f>IF(raw!N8="","",raw!N8)</f>
        <v>21067000000</v>
      </c>
      <c r="E8">
        <f>IF(raw!U8="","",raw!U8)</f>
        <v>730295000000</v>
      </c>
      <c r="F8">
        <f>IF(raw!W8="","",raw!W8)</f>
        <v>283564000000</v>
      </c>
      <c r="G8" s="2">
        <f t="shared" si="0"/>
        <v>0.121</v>
      </c>
      <c r="H8" s="2">
        <f t="shared" si="1"/>
        <v>0.58599999999999997</v>
      </c>
      <c r="I8" s="4">
        <f t="shared" si="2"/>
        <v>7.0999999999999994E-2</v>
      </c>
      <c r="J8" s="2">
        <f t="shared" si="3"/>
        <v>4.9000000000000002E-2</v>
      </c>
      <c r="K8" s="2">
        <f t="shared" si="4"/>
        <v>2.5750000000000002</v>
      </c>
      <c r="L8" s="2">
        <f t="shared" si="5"/>
        <v>7.3999999999999996E-2</v>
      </c>
    </row>
    <row r="9" spans="1:12" x14ac:dyDescent="0.4">
      <c r="A9" t="e">
        <f>IF(raw!#REF!="","",raw!#REF!)</f>
        <v>#REF!</v>
      </c>
      <c r="B9" s="10" t="e">
        <f>IF(raw!#REF!="","",raw!#REF!)</f>
        <v>#REF!</v>
      </c>
      <c r="C9" t="e">
        <f>IF(raw!#REF!="","",raw!#REF!)</f>
        <v>#REF!</v>
      </c>
      <c r="D9" s="4" t="e">
        <f>IF(raw!#REF!="","",raw!#REF!)</f>
        <v>#REF!</v>
      </c>
      <c r="E9" t="e">
        <f>IF(raw!#REF!="","",raw!#REF!)</f>
        <v>#REF!</v>
      </c>
      <c r="F9" t="e">
        <f>IF(raw!#REF!="","",raw!#REF!)</f>
        <v>#REF!</v>
      </c>
      <c r="G9" s="2" t="e">
        <f t="shared" si="0"/>
        <v>#REF!</v>
      </c>
      <c r="H9" s="2" t="e">
        <f t="shared" si="1"/>
        <v>#REF!</v>
      </c>
      <c r="I9" s="4" t="e">
        <f t="shared" si="2"/>
        <v>#REF!</v>
      </c>
      <c r="J9" s="2" t="e">
        <f t="shared" si="3"/>
        <v>#REF!</v>
      </c>
      <c r="K9" s="2" t="e">
        <f t="shared" si="4"/>
        <v>#REF!</v>
      </c>
      <c r="L9" s="2" t="e">
        <f t="shared" si="5"/>
        <v>#REF!</v>
      </c>
    </row>
    <row r="10" spans="1:12" x14ac:dyDescent="0.4">
      <c r="A10" t="e">
        <f>IF(raw!#REF!="","",raw!#REF!)</f>
        <v>#REF!</v>
      </c>
      <c r="B10" s="10" t="e">
        <f>IF(raw!#REF!="","",raw!#REF!)</f>
        <v>#REF!</v>
      </c>
      <c r="C10" t="e">
        <f>IF(raw!#REF!="","",raw!#REF!)</f>
        <v>#REF!</v>
      </c>
      <c r="D10" s="4" t="e">
        <f>IF(raw!#REF!="","",raw!#REF!)</f>
        <v>#REF!</v>
      </c>
      <c r="E10" t="e">
        <f>IF(raw!#REF!="","",raw!#REF!)</f>
        <v>#REF!</v>
      </c>
      <c r="F10" t="e">
        <f>IF(raw!#REF!="","",raw!#REF!)</f>
        <v>#REF!</v>
      </c>
      <c r="G10" s="2" t="e">
        <f t="shared" si="0"/>
        <v>#REF!</v>
      </c>
      <c r="H10" s="2" t="e">
        <f t="shared" si="1"/>
        <v>#REF!</v>
      </c>
      <c r="I10" s="4" t="e">
        <f t="shared" si="2"/>
        <v>#REF!</v>
      </c>
      <c r="J10" s="2" t="e">
        <f t="shared" si="3"/>
        <v>#REF!</v>
      </c>
      <c r="K10" s="2" t="e">
        <f t="shared" si="4"/>
        <v>#REF!</v>
      </c>
      <c r="L10" s="2" t="e">
        <f t="shared" si="5"/>
        <v>#REF!</v>
      </c>
    </row>
    <row r="11" spans="1:12" x14ac:dyDescent="0.4">
      <c r="A11" t="e">
        <f>IF(raw!#REF!="","",raw!#REF!)</f>
        <v>#REF!</v>
      </c>
      <c r="B11" s="10" t="e">
        <f>IF(raw!#REF!="","",raw!#REF!)</f>
        <v>#REF!</v>
      </c>
      <c r="C11" t="e">
        <f>IF(raw!#REF!="","",raw!#REF!)</f>
        <v>#REF!</v>
      </c>
      <c r="D11" s="4" t="e">
        <f>IF(raw!#REF!="","",raw!#REF!)</f>
        <v>#REF!</v>
      </c>
      <c r="E11" t="e">
        <f>IF(raw!#REF!="","",raw!#REF!)</f>
        <v>#REF!</v>
      </c>
      <c r="F11" t="e">
        <f>IF(raw!#REF!="","",raw!#REF!)</f>
        <v>#REF!</v>
      </c>
      <c r="G11" s="2" t="e">
        <f t="shared" si="0"/>
        <v>#REF!</v>
      </c>
      <c r="H11" s="2" t="e">
        <f t="shared" si="1"/>
        <v>#REF!</v>
      </c>
      <c r="I11" s="4" t="e">
        <f t="shared" si="2"/>
        <v>#REF!</v>
      </c>
      <c r="J11" s="2" t="e">
        <f t="shared" si="3"/>
        <v>#REF!</v>
      </c>
      <c r="K11" s="2" t="e">
        <f t="shared" si="4"/>
        <v>#REF!</v>
      </c>
      <c r="L11" s="2" t="e">
        <f t="shared" si="5"/>
        <v>#REF!</v>
      </c>
    </row>
    <row r="12" spans="1:12" x14ac:dyDescent="0.4">
      <c r="A12" s="6" t="e">
        <f>IF(raw!#REF!="","",raw!#REF!)</f>
        <v>#REF!</v>
      </c>
      <c r="B12" s="10" t="e">
        <f>IF(raw!#REF!="","",raw!#REF!)</f>
        <v>#REF!</v>
      </c>
      <c r="C12" s="6" t="e">
        <f>IF(raw!#REF!="","",raw!#REF!)</f>
        <v>#REF!</v>
      </c>
      <c r="D12" s="4" t="e">
        <f>IF(raw!#REF!="","",raw!#REF!)</f>
        <v>#REF!</v>
      </c>
      <c r="E12" s="6" t="e">
        <f>IF(raw!#REF!="","",raw!#REF!)</f>
        <v>#REF!</v>
      </c>
      <c r="F12" s="6" t="e">
        <f>IF(raw!#REF!="","",raw!#REF!)</f>
        <v>#REF!</v>
      </c>
      <c r="G12" s="6" t="e">
        <f t="shared" si="0"/>
        <v>#REF!</v>
      </c>
      <c r="H12" s="6" t="e">
        <f t="shared" si="1"/>
        <v>#REF!</v>
      </c>
      <c r="I12" s="4" t="e">
        <f t="shared" si="2"/>
        <v>#REF!</v>
      </c>
      <c r="J12" s="6" t="e">
        <f t="shared" si="3"/>
        <v>#REF!</v>
      </c>
      <c r="K12" s="6" t="e">
        <f t="shared" si="4"/>
        <v>#REF!</v>
      </c>
      <c r="L12" s="6" t="e">
        <f t="shared" si="5"/>
        <v>#REF!</v>
      </c>
    </row>
    <row r="13" spans="1:12" x14ac:dyDescent="0.4">
      <c r="A13" s="6" t="e">
        <f>IF(raw!#REF!="","",raw!#REF!)</f>
        <v>#REF!</v>
      </c>
      <c r="B13" s="10" t="e">
        <f>IF(raw!#REF!="","",raw!#REF!)</f>
        <v>#REF!</v>
      </c>
      <c r="C13" s="6" t="e">
        <f>IF(raw!#REF!="","",raw!#REF!)</f>
        <v>#REF!</v>
      </c>
      <c r="D13" s="4" t="e">
        <f>IF(raw!#REF!="","",raw!#REF!)</f>
        <v>#REF!</v>
      </c>
      <c r="E13" s="6" t="e">
        <f>IF(raw!#REF!="","",raw!#REF!)</f>
        <v>#REF!</v>
      </c>
      <c r="F13" s="6" t="e">
        <f>IF(raw!#REF!="","",raw!#REF!)</f>
        <v>#REF!</v>
      </c>
      <c r="G13" s="6" t="e">
        <f t="shared" si="0"/>
        <v>#REF!</v>
      </c>
      <c r="H13" s="6" t="e">
        <f t="shared" si="1"/>
        <v>#REF!</v>
      </c>
      <c r="I13" s="4" t="e">
        <f t="shared" si="2"/>
        <v>#REF!</v>
      </c>
      <c r="J13" s="6" t="e">
        <f t="shared" si="3"/>
        <v>#REF!</v>
      </c>
      <c r="K13" s="6" t="e">
        <f t="shared" si="4"/>
        <v>#REF!</v>
      </c>
      <c r="L13" s="6" t="e">
        <f t="shared" si="5"/>
        <v>#REF!</v>
      </c>
    </row>
    <row r="14" spans="1:12" x14ac:dyDescent="0.4">
      <c r="A14" s="6" t="e">
        <f>IF(raw!#REF!="","",raw!#REF!)</f>
        <v>#REF!</v>
      </c>
      <c r="B14" s="10" t="e">
        <f>IF(raw!#REF!="","",raw!#REF!)</f>
        <v>#REF!</v>
      </c>
      <c r="C14" s="6" t="e">
        <f>IF(raw!#REF!="","",raw!#REF!)</f>
        <v>#REF!</v>
      </c>
      <c r="D14" s="4" t="e">
        <f>IF(raw!#REF!="","",raw!#REF!)</f>
        <v>#REF!</v>
      </c>
      <c r="E14" s="6" t="e">
        <f>IF(raw!#REF!="","",raw!#REF!)</f>
        <v>#REF!</v>
      </c>
      <c r="F14" s="6" t="e">
        <f>IF(raw!#REF!="","",raw!#REF!)</f>
        <v>#REF!</v>
      </c>
      <c r="G14" s="6" t="e">
        <f t="shared" si="0"/>
        <v>#REF!</v>
      </c>
      <c r="H14" s="6" t="e">
        <f t="shared" si="1"/>
        <v>#REF!</v>
      </c>
      <c r="I14" s="4" t="e">
        <f t="shared" si="2"/>
        <v>#REF!</v>
      </c>
      <c r="J14" s="6" t="e">
        <f t="shared" si="3"/>
        <v>#REF!</v>
      </c>
      <c r="K14" s="6" t="e">
        <f t="shared" si="4"/>
        <v>#REF!</v>
      </c>
      <c r="L14" s="6" t="e">
        <f t="shared" si="5"/>
        <v>#REF!</v>
      </c>
    </row>
    <row r="15" spans="1:12" x14ac:dyDescent="0.4">
      <c r="A15" s="6" t="e">
        <f>IF(raw!#REF!="","",raw!#REF!)</f>
        <v>#REF!</v>
      </c>
      <c r="B15" s="10" t="e">
        <f>IF(raw!#REF!="","",raw!#REF!)</f>
        <v>#REF!</v>
      </c>
      <c r="C15" s="6" t="e">
        <f>IF(raw!#REF!="","",raw!#REF!)</f>
        <v>#REF!</v>
      </c>
      <c r="D15" s="4" t="e">
        <f>IF(raw!#REF!="","",raw!#REF!)</f>
        <v>#REF!</v>
      </c>
      <c r="E15" s="6" t="e">
        <f>IF(raw!#REF!="","",raw!#REF!)</f>
        <v>#REF!</v>
      </c>
      <c r="F15" s="6" t="e">
        <f>IF(raw!#REF!="","",raw!#REF!)</f>
        <v>#REF!</v>
      </c>
      <c r="G15" s="6" t="e">
        <f t="shared" si="0"/>
        <v>#REF!</v>
      </c>
      <c r="H15" s="6" t="e">
        <f t="shared" si="1"/>
        <v>#REF!</v>
      </c>
      <c r="I15" s="4" t="e">
        <f t="shared" si="2"/>
        <v>#REF!</v>
      </c>
      <c r="J15" s="6" t="e">
        <f t="shared" si="3"/>
        <v>#REF!</v>
      </c>
      <c r="K15" s="6" t="e">
        <f t="shared" si="4"/>
        <v>#REF!</v>
      </c>
      <c r="L15" s="6" t="e">
        <f t="shared" si="5"/>
        <v>#REF!</v>
      </c>
    </row>
    <row r="16" spans="1:12" x14ac:dyDescent="0.4">
      <c r="A16" s="6" t="e">
        <f>IF(raw!#REF!="","",raw!#REF!)</f>
        <v>#REF!</v>
      </c>
      <c r="B16" s="10" t="e">
        <f>IF(raw!#REF!="","",raw!#REF!)</f>
        <v>#REF!</v>
      </c>
      <c r="C16" s="6" t="e">
        <f>IF(raw!#REF!="","",raw!#REF!)</f>
        <v>#REF!</v>
      </c>
      <c r="D16" s="4" t="e">
        <f>IF(raw!#REF!="","",raw!#REF!)</f>
        <v>#REF!</v>
      </c>
      <c r="E16" s="6" t="e">
        <f>IF(raw!#REF!="","",raw!#REF!)</f>
        <v>#REF!</v>
      </c>
      <c r="F16" s="6" t="e">
        <f>IF(raw!#REF!="","",raw!#REF!)</f>
        <v>#REF!</v>
      </c>
      <c r="G16" s="6" t="e">
        <f t="shared" si="0"/>
        <v>#REF!</v>
      </c>
      <c r="H16" s="6" t="e">
        <f t="shared" si="1"/>
        <v>#REF!</v>
      </c>
      <c r="I16" s="4" t="e">
        <f t="shared" si="2"/>
        <v>#REF!</v>
      </c>
      <c r="J16" s="6" t="e">
        <f t="shared" si="3"/>
        <v>#REF!</v>
      </c>
      <c r="K16" s="6" t="e">
        <f t="shared" si="4"/>
        <v>#REF!</v>
      </c>
      <c r="L16" s="6" t="e">
        <f t="shared" si="5"/>
        <v>#REF!</v>
      </c>
    </row>
    <row r="17" spans="1:12" x14ac:dyDescent="0.4">
      <c r="A17" s="6" t="e">
        <f>IF(raw!#REF!="","",raw!#REF!)</f>
        <v>#REF!</v>
      </c>
      <c r="B17" s="10" t="e">
        <f>IF(raw!#REF!="","",raw!#REF!)</f>
        <v>#REF!</v>
      </c>
      <c r="C17" s="6" t="e">
        <f>IF(raw!#REF!="","",raw!#REF!)</f>
        <v>#REF!</v>
      </c>
      <c r="D17" s="4" t="e">
        <f>IF(raw!#REF!="","",raw!#REF!)</f>
        <v>#REF!</v>
      </c>
      <c r="E17" s="6" t="e">
        <f>IF(raw!#REF!="","",raw!#REF!)</f>
        <v>#REF!</v>
      </c>
      <c r="F17" s="6" t="e">
        <f>IF(raw!#REF!="","",raw!#REF!)</f>
        <v>#REF!</v>
      </c>
      <c r="G17" s="6" t="e">
        <f t="shared" si="0"/>
        <v>#REF!</v>
      </c>
      <c r="H17" s="6" t="e">
        <f t="shared" si="1"/>
        <v>#REF!</v>
      </c>
      <c r="I17" s="4" t="e">
        <f t="shared" si="2"/>
        <v>#REF!</v>
      </c>
      <c r="J17" s="6" t="e">
        <f t="shared" si="3"/>
        <v>#REF!</v>
      </c>
      <c r="K17" s="6" t="e">
        <f t="shared" si="4"/>
        <v>#REF!</v>
      </c>
      <c r="L17" s="6" t="e">
        <f t="shared" si="5"/>
        <v>#REF!</v>
      </c>
    </row>
    <row r="18" spans="1:12" x14ac:dyDescent="0.4">
      <c r="A18" s="6" t="e">
        <f>IF(raw!#REF!="","",raw!#REF!)</f>
        <v>#REF!</v>
      </c>
      <c r="B18" s="10" t="e">
        <f>IF(raw!#REF!="","",raw!#REF!)</f>
        <v>#REF!</v>
      </c>
      <c r="C18" s="6" t="e">
        <f>IF(raw!#REF!="","",raw!#REF!)</f>
        <v>#REF!</v>
      </c>
      <c r="D18" s="4" t="e">
        <f>IF(raw!#REF!="","",raw!#REF!)</f>
        <v>#REF!</v>
      </c>
      <c r="E18" s="6" t="e">
        <f>IF(raw!#REF!="","",raw!#REF!)</f>
        <v>#REF!</v>
      </c>
      <c r="F18" s="6" t="e">
        <f>IF(raw!#REF!="","",raw!#REF!)</f>
        <v>#REF!</v>
      </c>
      <c r="G18" s="6" t="e">
        <f t="shared" si="0"/>
        <v>#REF!</v>
      </c>
      <c r="H18" s="6" t="e">
        <f t="shared" si="1"/>
        <v>#REF!</v>
      </c>
      <c r="I18" s="4" t="e">
        <f t="shared" si="2"/>
        <v>#REF!</v>
      </c>
      <c r="J18" s="6" t="e">
        <f t="shared" si="3"/>
        <v>#REF!</v>
      </c>
      <c r="K18" s="6" t="e">
        <f t="shared" si="4"/>
        <v>#REF!</v>
      </c>
      <c r="L18" s="6" t="e">
        <f t="shared" si="5"/>
        <v>#REF!</v>
      </c>
    </row>
    <row r="19" spans="1:12" x14ac:dyDescent="0.4">
      <c r="A19" s="6" t="e">
        <f>IF(raw!#REF!="","",raw!#REF!)</f>
        <v>#REF!</v>
      </c>
      <c r="B19" s="10" t="e">
        <f>IF(raw!#REF!="","",raw!#REF!)</f>
        <v>#REF!</v>
      </c>
      <c r="C19" s="6" t="e">
        <f>IF(raw!#REF!="","",raw!#REF!)</f>
        <v>#REF!</v>
      </c>
      <c r="D19" s="4" t="e">
        <f>IF(raw!#REF!="","",raw!#REF!)</f>
        <v>#REF!</v>
      </c>
      <c r="E19" s="6" t="e">
        <f>IF(raw!#REF!="","",raw!#REF!)</f>
        <v>#REF!</v>
      </c>
      <c r="F19" s="6" t="e">
        <f>IF(raw!#REF!="","",raw!#REF!)</f>
        <v>#REF!</v>
      </c>
      <c r="G19" s="6" t="e">
        <f t="shared" si="0"/>
        <v>#REF!</v>
      </c>
      <c r="H19" s="6" t="e">
        <f t="shared" si="1"/>
        <v>#REF!</v>
      </c>
      <c r="I19" s="4" t="e">
        <f t="shared" si="2"/>
        <v>#REF!</v>
      </c>
      <c r="J19" s="6" t="e">
        <f t="shared" si="3"/>
        <v>#REF!</v>
      </c>
      <c r="K19" s="6" t="e">
        <f t="shared" si="4"/>
        <v>#REF!</v>
      </c>
      <c r="L19" s="6" t="e">
        <f t="shared" si="5"/>
        <v>#REF!</v>
      </c>
    </row>
    <row r="20" spans="1:12" x14ac:dyDescent="0.4">
      <c r="A20" s="6" t="e">
        <f>IF(raw!#REF!="","",raw!#REF!)</f>
        <v>#REF!</v>
      </c>
      <c r="B20" s="10" t="e">
        <f>IF(raw!#REF!="","",raw!#REF!)</f>
        <v>#REF!</v>
      </c>
      <c r="C20" s="6" t="e">
        <f>IF(raw!#REF!="","",raw!#REF!)</f>
        <v>#REF!</v>
      </c>
      <c r="D20" s="4" t="e">
        <f>IF(raw!#REF!="","",raw!#REF!)</f>
        <v>#REF!</v>
      </c>
      <c r="E20" s="6" t="e">
        <f>IF(raw!#REF!="","",raw!#REF!)</f>
        <v>#REF!</v>
      </c>
      <c r="F20" s="6" t="e">
        <f>IF(raw!#REF!="","",raw!#REF!)</f>
        <v>#REF!</v>
      </c>
      <c r="G20" s="6" t="e">
        <f t="shared" si="0"/>
        <v>#REF!</v>
      </c>
      <c r="H20" s="6" t="e">
        <f t="shared" si="1"/>
        <v>#REF!</v>
      </c>
      <c r="I20" s="4" t="e">
        <f t="shared" si="2"/>
        <v>#REF!</v>
      </c>
      <c r="J20" s="6" t="e">
        <f t="shared" si="3"/>
        <v>#REF!</v>
      </c>
      <c r="K20" s="6" t="e">
        <f t="shared" si="4"/>
        <v>#REF!</v>
      </c>
      <c r="L20" s="6" t="e">
        <f t="shared" si="5"/>
        <v>#REF!</v>
      </c>
    </row>
    <row r="21" spans="1:12" x14ac:dyDescent="0.4">
      <c r="A21" s="6" t="e">
        <f>IF(raw!#REF!="","",raw!#REF!)</f>
        <v>#REF!</v>
      </c>
      <c r="B21" s="10" t="e">
        <f>IF(raw!#REF!="","",raw!#REF!)</f>
        <v>#REF!</v>
      </c>
      <c r="C21" s="6" t="e">
        <f>IF(raw!#REF!="","",raw!#REF!)</f>
        <v>#REF!</v>
      </c>
      <c r="D21" s="4" t="e">
        <f>IF(raw!#REF!="","",raw!#REF!)</f>
        <v>#REF!</v>
      </c>
      <c r="E21" s="6" t="e">
        <f>IF(raw!#REF!="","",raw!#REF!)</f>
        <v>#REF!</v>
      </c>
      <c r="F21" s="6" t="e">
        <f>IF(raw!#REF!="","",raw!#REF!)</f>
        <v>#REF!</v>
      </c>
      <c r="G21" s="6" t="e">
        <f t="shared" si="0"/>
        <v>#REF!</v>
      </c>
      <c r="H21" s="6" t="e">
        <f t="shared" si="1"/>
        <v>#REF!</v>
      </c>
      <c r="I21" s="4" t="e">
        <f t="shared" si="2"/>
        <v>#REF!</v>
      </c>
      <c r="J21" s="6" t="e">
        <f t="shared" si="3"/>
        <v>#REF!</v>
      </c>
      <c r="K21" s="6" t="e">
        <f t="shared" si="4"/>
        <v>#REF!</v>
      </c>
      <c r="L21" s="6" t="e">
        <f t="shared" si="5"/>
        <v>#REF!</v>
      </c>
    </row>
    <row r="22" spans="1:12" x14ac:dyDescent="0.4">
      <c r="A22" s="6" t="e">
        <f>IF(raw!#REF!="","",raw!#REF!)</f>
        <v>#REF!</v>
      </c>
      <c r="B22" s="10" t="e">
        <f>IF(raw!#REF!="","",raw!#REF!)</f>
        <v>#REF!</v>
      </c>
      <c r="C22" s="6" t="e">
        <f>IF(raw!#REF!="","",raw!#REF!)</f>
        <v>#REF!</v>
      </c>
      <c r="D22" s="4" t="e">
        <f>IF(raw!#REF!="","",raw!#REF!)</f>
        <v>#REF!</v>
      </c>
      <c r="E22" s="6" t="e">
        <f>IF(raw!#REF!="","",raw!#REF!)</f>
        <v>#REF!</v>
      </c>
      <c r="F22" s="6" t="e">
        <f>IF(raw!#REF!="","",raw!#REF!)</f>
        <v>#REF!</v>
      </c>
      <c r="G22" s="6" t="e">
        <f t="shared" si="0"/>
        <v>#REF!</v>
      </c>
      <c r="H22" s="6" t="e">
        <f t="shared" si="1"/>
        <v>#REF!</v>
      </c>
      <c r="I22" s="4" t="e">
        <f t="shared" si="2"/>
        <v>#REF!</v>
      </c>
      <c r="J22" s="6" t="e">
        <f t="shared" si="3"/>
        <v>#REF!</v>
      </c>
      <c r="K22" s="6" t="e">
        <f t="shared" si="4"/>
        <v>#REF!</v>
      </c>
      <c r="L22" s="6" t="e">
        <f t="shared" si="5"/>
        <v>#REF!</v>
      </c>
    </row>
    <row r="23" spans="1:12" x14ac:dyDescent="0.4">
      <c r="A23" s="6" t="e">
        <f>IF(raw!#REF!="","",raw!#REF!)</f>
        <v>#REF!</v>
      </c>
      <c r="B23" s="10" t="e">
        <f>IF(raw!#REF!="","",raw!#REF!)</f>
        <v>#REF!</v>
      </c>
      <c r="C23" s="6" t="e">
        <f>IF(raw!#REF!="","",raw!#REF!)</f>
        <v>#REF!</v>
      </c>
      <c r="D23" s="4" t="e">
        <f>IF(raw!#REF!="","",raw!#REF!)</f>
        <v>#REF!</v>
      </c>
      <c r="E23" s="6" t="e">
        <f>IF(raw!#REF!="","",raw!#REF!)</f>
        <v>#REF!</v>
      </c>
      <c r="F23" s="6" t="e">
        <f>IF(raw!#REF!="","",raw!#REF!)</f>
        <v>#REF!</v>
      </c>
      <c r="G23" s="6" t="e">
        <f t="shared" si="0"/>
        <v>#REF!</v>
      </c>
      <c r="H23" s="6" t="e">
        <f t="shared" si="1"/>
        <v>#REF!</v>
      </c>
      <c r="I23" s="4" t="e">
        <f t="shared" si="2"/>
        <v>#REF!</v>
      </c>
      <c r="J23" s="6" t="e">
        <f t="shared" si="3"/>
        <v>#REF!</v>
      </c>
      <c r="K23" s="6" t="e">
        <f t="shared" si="4"/>
        <v>#REF!</v>
      </c>
      <c r="L23" s="6" t="e">
        <f t="shared" si="5"/>
        <v>#REF!</v>
      </c>
    </row>
    <row r="24" spans="1:12" x14ac:dyDescent="0.4">
      <c r="A24" s="6" t="e">
        <f>IF(raw!#REF!="","",raw!#REF!)</f>
        <v>#REF!</v>
      </c>
      <c r="B24" s="10" t="e">
        <f>IF(raw!#REF!="","",raw!#REF!)</f>
        <v>#REF!</v>
      </c>
      <c r="C24" s="6" t="e">
        <f>IF(raw!#REF!="","",raw!#REF!)</f>
        <v>#REF!</v>
      </c>
      <c r="D24" s="4" t="e">
        <f>IF(raw!#REF!="","",raw!#REF!)</f>
        <v>#REF!</v>
      </c>
      <c r="E24" s="6" t="e">
        <f>IF(raw!#REF!="","",raw!#REF!)</f>
        <v>#REF!</v>
      </c>
      <c r="F24" s="6" t="e">
        <f>IF(raw!#REF!="","",raw!#REF!)</f>
        <v>#REF!</v>
      </c>
      <c r="G24" s="6" t="e">
        <f t="shared" si="0"/>
        <v>#REF!</v>
      </c>
      <c r="H24" s="6" t="e">
        <f t="shared" si="1"/>
        <v>#REF!</v>
      </c>
      <c r="I24" s="4" t="e">
        <f t="shared" si="2"/>
        <v>#REF!</v>
      </c>
      <c r="J24" s="6" t="e">
        <f t="shared" si="3"/>
        <v>#REF!</v>
      </c>
      <c r="K24" s="6" t="e">
        <f t="shared" si="4"/>
        <v>#REF!</v>
      </c>
      <c r="L24" s="6" t="e">
        <f t="shared" si="5"/>
        <v>#REF!</v>
      </c>
    </row>
    <row r="25" spans="1:12" x14ac:dyDescent="0.4">
      <c r="A25" s="6" t="e">
        <f>IF(raw!#REF!="","",raw!#REF!)</f>
        <v>#REF!</v>
      </c>
      <c r="B25" s="10" t="e">
        <f>IF(raw!#REF!="","",raw!#REF!)</f>
        <v>#REF!</v>
      </c>
      <c r="C25" s="6" t="e">
        <f>IF(raw!#REF!="","",raw!#REF!)</f>
        <v>#REF!</v>
      </c>
      <c r="D25" s="4" t="e">
        <f>IF(raw!#REF!="","",raw!#REF!)</f>
        <v>#REF!</v>
      </c>
      <c r="E25" s="6" t="e">
        <f>IF(raw!#REF!="","",raw!#REF!)</f>
        <v>#REF!</v>
      </c>
      <c r="F25" s="6" t="e">
        <f>IF(raw!#REF!="","",raw!#REF!)</f>
        <v>#REF!</v>
      </c>
      <c r="G25" s="6" t="e">
        <f t="shared" si="0"/>
        <v>#REF!</v>
      </c>
      <c r="H25" s="6" t="e">
        <f t="shared" si="1"/>
        <v>#REF!</v>
      </c>
      <c r="I25" s="4" t="e">
        <f t="shared" si="2"/>
        <v>#REF!</v>
      </c>
      <c r="J25" s="6" t="e">
        <f t="shared" si="3"/>
        <v>#REF!</v>
      </c>
      <c r="K25" s="6" t="e">
        <f t="shared" si="4"/>
        <v>#REF!</v>
      </c>
      <c r="L25" s="6" t="e">
        <f t="shared" si="5"/>
        <v>#REF!</v>
      </c>
    </row>
    <row r="26" spans="1:12" x14ac:dyDescent="0.4">
      <c r="A26" s="6" t="e">
        <f>IF(raw!#REF!="","",raw!#REF!)</f>
        <v>#REF!</v>
      </c>
      <c r="B26" s="10" t="e">
        <f>IF(raw!#REF!="","",raw!#REF!)</f>
        <v>#REF!</v>
      </c>
      <c r="C26" s="6" t="e">
        <f>IF(raw!#REF!="","",raw!#REF!)</f>
        <v>#REF!</v>
      </c>
      <c r="D26" s="4" t="e">
        <f>IF(raw!#REF!="","",raw!#REF!)</f>
        <v>#REF!</v>
      </c>
      <c r="E26" s="6" t="e">
        <f>IF(raw!#REF!="","",raw!#REF!)</f>
        <v>#REF!</v>
      </c>
      <c r="F26" s="6" t="e">
        <f>IF(raw!#REF!="","",raw!#REF!)</f>
        <v>#REF!</v>
      </c>
      <c r="G26" s="6" t="e">
        <f t="shared" si="0"/>
        <v>#REF!</v>
      </c>
      <c r="H26" s="6" t="e">
        <f t="shared" si="1"/>
        <v>#REF!</v>
      </c>
      <c r="I26" s="4" t="e">
        <f t="shared" si="2"/>
        <v>#REF!</v>
      </c>
      <c r="J26" s="6" t="e">
        <f t="shared" si="3"/>
        <v>#REF!</v>
      </c>
      <c r="K26" s="6" t="e">
        <f t="shared" si="4"/>
        <v>#REF!</v>
      </c>
      <c r="L26" s="6" t="e">
        <f t="shared" si="5"/>
        <v>#REF!</v>
      </c>
    </row>
    <row r="27" spans="1:12" x14ac:dyDescent="0.4">
      <c r="A27" s="6" t="e">
        <f>IF(raw!#REF!="","",raw!#REF!)</f>
        <v>#REF!</v>
      </c>
      <c r="B27" s="10" t="e">
        <f>IF(raw!#REF!="","",raw!#REF!)</f>
        <v>#REF!</v>
      </c>
      <c r="C27" s="6" t="e">
        <f>IF(raw!#REF!="","",raw!#REF!)</f>
        <v>#REF!</v>
      </c>
      <c r="D27" s="4" t="e">
        <f>IF(raw!#REF!="","",raw!#REF!)</f>
        <v>#REF!</v>
      </c>
      <c r="E27" s="6" t="e">
        <f>IF(raw!#REF!="","",raw!#REF!)</f>
        <v>#REF!</v>
      </c>
      <c r="F27" s="6" t="e">
        <f>IF(raw!#REF!="","",raw!#REF!)</f>
        <v>#REF!</v>
      </c>
      <c r="G27" s="6" t="e">
        <f t="shared" si="0"/>
        <v>#REF!</v>
      </c>
      <c r="H27" s="6" t="e">
        <f t="shared" si="1"/>
        <v>#REF!</v>
      </c>
      <c r="I27" s="4" t="e">
        <f t="shared" si="2"/>
        <v>#REF!</v>
      </c>
      <c r="J27" s="6" t="e">
        <f t="shared" si="3"/>
        <v>#REF!</v>
      </c>
      <c r="K27" s="6" t="e">
        <f t="shared" si="4"/>
        <v>#REF!</v>
      </c>
      <c r="L27" s="6" t="e">
        <f t="shared" si="5"/>
        <v>#REF!</v>
      </c>
    </row>
    <row r="28" spans="1:12" x14ac:dyDescent="0.4">
      <c r="A28" s="6" t="e">
        <f>IF(raw!#REF!="","",raw!#REF!)</f>
        <v>#REF!</v>
      </c>
      <c r="B28" s="10" t="e">
        <f>IF(raw!#REF!="","",raw!#REF!)</f>
        <v>#REF!</v>
      </c>
      <c r="C28" s="6" t="e">
        <f>IF(raw!#REF!="","",raw!#REF!)</f>
        <v>#REF!</v>
      </c>
      <c r="D28" s="4" t="e">
        <f>IF(raw!#REF!="","",raw!#REF!)</f>
        <v>#REF!</v>
      </c>
      <c r="E28" s="6" t="e">
        <f>IF(raw!#REF!="","",raw!#REF!)</f>
        <v>#REF!</v>
      </c>
      <c r="F28" s="6" t="e">
        <f>IF(raw!#REF!="","",raw!#REF!)</f>
        <v>#REF!</v>
      </c>
      <c r="G28" s="6" t="e">
        <f t="shared" si="0"/>
        <v>#REF!</v>
      </c>
      <c r="H28" s="6" t="e">
        <f t="shared" si="1"/>
        <v>#REF!</v>
      </c>
      <c r="I28" s="4" t="e">
        <f t="shared" si="2"/>
        <v>#REF!</v>
      </c>
      <c r="J28" s="6" t="e">
        <f t="shared" si="3"/>
        <v>#REF!</v>
      </c>
      <c r="K28" s="6" t="e">
        <f t="shared" si="4"/>
        <v>#REF!</v>
      </c>
      <c r="L28" s="6" t="e">
        <f t="shared" si="5"/>
        <v>#REF!</v>
      </c>
    </row>
    <row r="29" spans="1:12" x14ac:dyDescent="0.4">
      <c r="A29" s="6" t="e">
        <f>IF(raw!#REF!="","",raw!#REF!)</f>
        <v>#REF!</v>
      </c>
      <c r="B29" s="10" t="e">
        <f>IF(raw!#REF!="","",raw!#REF!)</f>
        <v>#REF!</v>
      </c>
      <c r="C29" s="6" t="e">
        <f>IF(raw!#REF!="","",raw!#REF!)</f>
        <v>#REF!</v>
      </c>
      <c r="D29" s="4" t="e">
        <f>IF(raw!#REF!="","",raw!#REF!)</f>
        <v>#REF!</v>
      </c>
      <c r="E29" s="6" t="e">
        <f>IF(raw!#REF!="","",raw!#REF!)</f>
        <v>#REF!</v>
      </c>
      <c r="F29" s="6" t="e">
        <f>IF(raw!#REF!="","",raw!#REF!)</f>
        <v>#REF!</v>
      </c>
      <c r="G29" s="6" t="e">
        <f t="shared" si="0"/>
        <v>#REF!</v>
      </c>
      <c r="H29" s="6" t="e">
        <f t="shared" si="1"/>
        <v>#REF!</v>
      </c>
      <c r="I29" s="4" t="e">
        <f t="shared" si="2"/>
        <v>#REF!</v>
      </c>
      <c r="J29" s="6" t="e">
        <f t="shared" si="3"/>
        <v>#REF!</v>
      </c>
      <c r="K29" s="6" t="e">
        <f t="shared" si="4"/>
        <v>#REF!</v>
      </c>
      <c r="L29" s="6" t="e">
        <f t="shared" si="5"/>
        <v>#REF!</v>
      </c>
    </row>
    <row r="30" spans="1:12" x14ac:dyDescent="0.4">
      <c r="A30" s="6" t="e">
        <f>IF(raw!#REF!="","",raw!#REF!)</f>
        <v>#REF!</v>
      </c>
      <c r="B30" s="10" t="e">
        <f>IF(raw!#REF!="","",raw!#REF!)</f>
        <v>#REF!</v>
      </c>
      <c r="C30" s="6" t="e">
        <f>IF(raw!#REF!="","",raw!#REF!)</f>
        <v>#REF!</v>
      </c>
      <c r="D30" s="4" t="e">
        <f>IF(raw!#REF!="","",raw!#REF!)</f>
        <v>#REF!</v>
      </c>
      <c r="E30" s="6" t="e">
        <f>IF(raw!#REF!="","",raw!#REF!)</f>
        <v>#REF!</v>
      </c>
      <c r="F30" s="6" t="e">
        <f>IF(raw!#REF!="","",raw!#REF!)</f>
        <v>#REF!</v>
      </c>
      <c r="G30" s="6" t="e">
        <f t="shared" si="0"/>
        <v>#REF!</v>
      </c>
      <c r="H30" s="6" t="e">
        <f t="shared" si="1"/>
        <v>#REF!</v>
      </c>
      <c r="I30" s="4" t="e">
        <f t="shared" si="2"/>
        <v>#REF!</v>
      </c>
      <c r="J30" s="6" t="e">
        <f t="shared" si="3"/>
        <v>#REF!</v>
      </c>
      <c r="K30" s="6" t="e">
        <f t="shared" si="4"/>
        <v>#REF!</v>
      </c>
      <c r="L30" s="6" t="e">
        <f t="shared" si="5"/>
        <v>#REF!</v>
      </c>
    </row>
    <row r="31" spans="1:12" x14ac:dyDescent="0.4">
      <c r="A31" s="6" t="e">
        <f>IF(raw!#REF!="","",raw!#REF!)</f>
        <v>#REF!</v>
      </c>
      <c r="B31" s="10" t="e">
        <f>IF(raw!#REF!="","",raw!#REF!)</f>
        <v>#REF!</v>
      </c>
      <c r="C31" s="6" t="e">
        <f>IF(raw!#REF!="","",raw!#REF!)</f>
        <v>#REF!</v>
      </c>
      <c r="D31" s="4" t="e">
        <f>IF(raw!#REF!="","",raw!#REF!)</f>
        <v>#REF!</v>
      </c>
      <c r="E31" s="6" t="e">
        <f>IF(raw!#REF!="","",raw!#REF!)</f>
        <v>#REF!</v>
      </c>
      <c r="F31" s="6" t="e">
        <f>IF(raw!#REF!="","",raw!#REF!)</f>
        <v>#REF!</v>
      </c>
      <c r="G31" s="6" t="e">
        <f t="shared" si="0"/>
        <v>#REF!</v>
      </c>
      <c r="H31" s="6" t="e">
        <f t="shared" si="1"/>
        <v>#REF!</v>
      </c>
      <c r="I31" s="4" t="e">
        <f t="shared" si="2"/>
        <v>#REF!</v>
      </c>
      <c r="J31" s="6" t="e">
        <f t="shared" si="3"/>
        <v>#REF!</v>
      </c>
      <c r="K31" s="6" t="e">
        <f t="shared" si="4"/>
        <v>#REF!</v>
      </c>
      <c r="L31" s="6" t="e">
        <f t="shared" si="5"/>
        <v>#REF!</v>
      </c>
    </row>
    <row r="32" spans="1:12" x14ac:dyDescent="0.4">
      <c r="A32" s="6" t="e">
        <f>IF(raw!#REF!="","",raw!#REF!)</f>
        <v>#REF!</v>
      </c>
      <c r="B32" s="10" t="e">
        <f>IF(raw!#REF!="","",raw!#REF!)</f>
        <v>#REF!</v>
      </c>
      <c r="C32" s="6" t="e">
        <f>IF(raw!#REF!="","",raw!#REF!)</f>
        <v>#REF!</v>
      </c>
      <c r="D32" s="4" t="e">
        <f>IF(raw!#REF!="","",raw!#REF!)</f>
        <v>#REF!</v>
      </c>
      <c r="E32" s="6" t="e">
        <f>IF(raw!#REF!="","",raw!#REF!)</f>
        <v>#REF!</v>
      </c>
      <c r="F32" s="6" t="e">
        <f>IF(raw!#REF!="","",raw!#REF!)</f>
        <v>#REF!</v>
      </c>
      <c r="G32" s="6" t="e">
        <f t="shared" si="0"/>
        <v>#REF!</v>
      </c>
      <c r="H32" s="6" t="e">
        <f t="shared" si="1"/>
        <v>#REF!</v>
      </c>
      <c r="I32" s="4" t="e">
        <f t="shared" si="2"/>
        <v>#REF!</v>
      </c>
      <c r="J32" s="6" t="e">
        <f t="shared" si="3"/>
        <v>#REF!</v>
      </c>
      <c r="K32" s="6" t="e">
        <f t="shared" si="4"/>
        <v>#REF!</v>
      </c>
      <c r="L32" s="6" t="e">
        <f t="shared" si="5"/>
        <v>#REF!</v>
      </c>
    </row>
    <row r="33" spans="1:12" x14ac:dyDescent="0.4">
      <c r="A33" s="6" t="e">
        <f>IF(raw!#REF!="","",raw!#REF!)</f>
        <v>#REF!</v>
      </c>
      <c r="B33" s="10" t="e">
        <f>IF(raw!#REF!="","",raw!#REF!)</f>
        <v>#REF!</v>
      </c>
      <c r="C33" s="6" t="e">
        <f>IF(raw!#REF!="","",raw!#REF!)</f>
        <v>#REF!</v>
      </c>
      <c r="D33" s="4" t="e">
        <f>IF(raw!#REF!="","",raw!#REF!)</f>
        <v>#REF!</v>
      </c>
      <c r="E33" s="6" t="e">
        <f>IF(raw!#REF!="","",raw!#REF!)</f>
        <v>#REF!</v>
      </c>
      <c r="F33" s="6" t="e">
        <f>IF(raw!#REF!="","",raw!#REF!)</f>
        <v>#REF!</v>
      </c>
      <c r="G33" s="6" t="e">
        <f t="shared" si="0"/>
        <v>#REF!</v>
      </c>
      <c r="H33" s="6" t="e">
        <f t="shared" si="1"/>
        <v>#REF!</v>
      </c>
      <c r="I33" s="4" t="e">
        <f t="shared" si="2"/>
        <v>#REF!</v>
      </c>
      <c r="J33" s="6" t="e">
        <f t="shared" si="3"/>
        <v>#REF!</v>
      </c>
      <c r="K33" s="6" t="e">
        <f t="shared" si="4"/>
        <v>#REF!</v>
      </c>
      <c r="L33" s="6" t="e">
        <f t="shared" si="5"/>
        <v>#REF!</v>
      </c>
    </row>
    <row r="34" spans="1:12" x14ac:dyDescent="0.4">
      <c r="A34" s="6" t="str">
        <f>IF(raw!K9="","",raw!K9)</f>
        <v>ミニストップ</v>
      </c>
      <c r="B34" s="10">
        <f>IF(raw!M9="","",raw!M9)</f>
        <v>213528000000</v>
      </c>
      <c r="C34" s="6">
        <f>IF(raw!T9="","",raw!T9)</f>
        <v>3653000000</v>
      </c>
      <c r="D34" s="4">
        <f>IF(raw!N9="","",raw!N9)</f>
        <v>968000000</v>
      </c>
      <c r="E34" s="6">
        <f>IF(raw!U9="","",raw!U9)</f>
        <v>119633000000</v>
      </c>
      <c r="F34" s="6">
        <f>IF(raw!W9="","",raw!W9)</f>
        <v>58837000000</v>
      </c>
      <c r="G34" s="6">
        <f t="shared" ref="G34:G66" si="6">IF(C34="","",ROUND(C34/B34,3))</f>
        <v>1.7000000000000001E-2</v>
      </c>
      <c r="H34" s="6">
        <f t="shared" ref="H34:H66" si="7">IF(B34="","",ROUND(B34/E34,3))</f>
        <v>1.7849999999999999</v>
      </c>
      <c r="I34" s="4">
        <f t="shared" ref="I34:I65" si="8">IF(G34="","",ROUND(G34*H34,3))</f>
        <v>0.03</v>
      </c>
      <c r="J34" s="6">
        <f t="shared" ref="J34:J66" si="9">IF(B34="","",ROUND(D34/B34,3))</f>
        <v>5.0000000000000001E-3</v>
      </c>
      <c r="K34" s="6">
        <f t="shared" ref="K34:K66" si="10">IF(E34="","",ROUND(E34/F34,3))</f>
        <v>2.0329999999999999</v>
      </c>
      <c r="L34" s="6">
        <f t="shared" ref="L34:L65" si="11">IF(B34="","",ROUND(H34*K34*J34,3))</f>
        <v>1.7999999999999999E-2</v>
      </c>
    </row>
    <row r="35" spans="1:12" x14ac:dyDescent="0.4">
      <c r="A35" s="6" t="str">
        <f>IF(raw!K10="","",raw!K10)</f>
        <v/>
      </c>
      <c r="B35" s="10" t="str">
        <f>IF(raw!M10="","",raw!M10)</f>
        <v/>
      </c>
      <c r="C35" s="6" t="str">
        <f>IF(raw!T10="","",raw!T10)</f>
        <v/>
      </c>
      <c r="D35" s="4" t="str">
        <f>IF(raw!N10="","",raw!N10)</f>
        <v/>
      </c>
      <c r="E35" s="6" t="str">
        <f>IF(raw!U10="","",raw!U10)</f>
        <v/>
      </c>
      <c r="F35" s="6" t="str">
        <f>IF(raw!W10="","",raw!W10)</f>
        <v/>
      </c>
      <c r="G35" s="6" t="str">
        <f t="shared" si="6"/>
        <v/>
      </c>
      <c r="H35" s="6" t="str">
        <f t="shared" si="7"/>
        <v/>
      </c>
      <c r="I35" s="4" t="str">
        <f t="shared" si="8"/>
        <v/>
      </c>
      <c r="J35" s="6" t="str">
        <f t="shared" si="9"/>
        <v/>
      </c>
      <c r="K35" s="6" t="str">
        <f t="shared" si="10"/>
        <v/>
      </c>
      <c r="L35" s="6" t="str">
        <f t="shared" si="11"/>
        <v/>
      </c>
    </row>
    <row r="36" spans="1:12" x14ac:dyDescent="0.4">
      <c r="A36" s="6" t="str">
        <f>IF(raw!K11="","",raw!K11)</f>
        <v/>
      </c>
      <c r="B36" s="10" t="str">
        <f>IF(raw!M11="","",raw!M11)</f>
        <v/>
      </c>
      <c r="C36" s="6" t="str">
        <f>IF(raw!T11="","",raw!T11)</f>
        <v/>
      </c>
      <c r="D36" s="4" t="str">
        <f>IF(raw!N11="","",raw!N11)</f>
        <v/>
      </c>
      <c r="E36" s="6" t="str">
        <f>IF(raw!U11="","",raw!U11)</f>
        <v/>
      </c>
      <c r="F36" s="6" t="str">
        <f>IF(raw!W11="","",raw!W11)</f>
        <v/>
      </c>
      <c r="G36" s="6" t="str">
        <f t="shared" si="6"/>
        <v/>
      </c>
      <c r="H36" s="6" t="str">
        <f t="shared" si="7"/>
        <v/>
      </c>
      <c r="I36" s="4" t="str">
        <f t="shared" si="8"/>
        <v/>
      </c>
      <c r="J36" s="6" t="str">
        <f t="shared" si="9"/>
        <v/>
      </c>
      <c r="K36" s="6" t="str">
        <f t="shared" si="10"/>
        <v/>
      </c>
      <c r="L36" s="6" t="str">
        <f t="shared" si="11"/>
        <v/>
      </c>
    </row>
    <row r="37" spans="1:12" x14ac:dyDescent="0.4">
      <c r="A37" s="6" t="str">
        <f>IF(raw!K12="","",raw!K12)</f>
        <v/>
      </c>
      <c r="B37" s="10" t="str">
        <f>IF(raw!M12="","",raw!M12)</f>
        <v/>
      </c>
      <c r="C37" s="6" t="str">
        <f>IF(raw!T12="","",raw!T12)</f>
        <v/>
      </c>
      <c r="D37" s="4" t="str">
        <f>IF(raw!N12="","",raw!N12)</f>
        <v/>
      </c>
      <c r="E37" s="6" t="str">
        <f>IF(raw!U12="","",raw!U12)</f>
        <v/>
      </c>
      <c r="F37" s="6" t="str">
        <f>IF(raw!W12="","",raw!W12)</f>
        <v/>
      </c>
      <c r="G37" s="6" t="str">
        <f t="shared" si="6"/>
        <v/>
      </c>
      <c r="H37" s="6" t="str">
        <f t="shared" si="7"/>
        <v/>
      </c>
      <c r="I37" s="4" t="str">
        <f t="shared" si="8"/>
        <v/>
      </c>
      <c r="J37" s="6" t="str">
        <f t="shared" si="9"/>
        <v/>
      </c>
      <c r="K37" s="6" t="str">
        <f t="shared" si="10"/>
        <v/>
      </c>
      <c r="L37" s="6" t="str">
        <f t="shared" si="11"/>
        <v/>
      </c>
    </row>
    <row r="38" spans="1:12" x14ac:dyDescent="0.4">
      <c r="A38" s="6" t="str">
        <f>IF(raw!K13="","",raw!K13)</f>
        <v/>
      </c>
      <c r="B38" s="10" t="str">
        <f>IF(raw!M13="","",raw!M13)</f>
        <v/>
      </c>
      <c r="C38" s="6" t="str">
        <f>IF(raw!T13="","",raw!T13)</f>
        <v/>
      </c>
      <c r="D38" s="4" t="str">
        <f>IF(raw!N13="","",raw!N13)</f>
        <v/>
      </c>
      <c r="E38" s="6" t="str">
        <f>IF(raw!U13="","",raw!U13)</f>
        <v/>
      </c>
      <c r="F38" s="6" t="str">
        <f>IF(raw!W13="","",raw!W13)</f>
        <v/>
      </c>
      <c r="G38" s="6" t="str">
        <f t="shared" si="6"/>
        <v/>
      </c>
      <c r="H38" s="6" t="str">
        <f t="shared" si="7"/>
        <v/>
      </c>
      <c r="I38" s="4" t="str">
        <f t="shared" si="8"/>
        <v/>
      </c>
      <c r="J38" s="6" t="str">
        <f t="shared" si="9"/>
        <v/>
      </c>
      <c r="K38" s="6" t="str">
        <f t="shared" si="10"/>
        <v/>
      </c>
      <c r="L38" s="6" t="str">
        <f t="shared" si="11"/>
        <v/>
      </c>
    </row>
    <row r="39" spans="1:12" x14ac:dyDescent="0.4">
      <c r="A39" s="6" t="str">
        <f>IF(raw!K14="","",raw!K14)</f>
        <v/>
      </c>
      <c r="B39" s="10" t="str">
        <f>IF(raw!M14="","",raw!M14)</f>
        <v/>
      </c>
      <c r="C39" s="6" t="str">
        <f>IF(raw!T14="","",raw!T14)</f>
        <v/>
      </c>
      <c r="D39" s="4" t="str">
        <f>IF(raw!N14="","",raw!N14)</f>
        <v/>
      </c>
      <c r="E39" s="6" t="str">
        <f>IF(raw!U14="","",raw!U14)</f>
        <v/>
      </c>
      <c r="F39" s="6" t="str">
        <f>IF(raw!W14="","",raw!W14)</f>
        <v/>
      </c>
      <c r="G39" s="6" t="str">
        <f t="shared" si="6"/>
        <v/>
      </c>
      <c r="H39" s="6" t="str">
        <f t="shared" si="7"/>
        <v/>
      </c>
      <c r="I39" s="4" t="str">
        <f t="shared" si="8"/>
        <v/>
      </c>
      <c r="J39" s="6" t="str">
        <f t="shared" si="9"/>
        <v/>
      </c>
      <c r="K39" s="6" t="str">
        <f t="shared" si="10"/>
        <v/>
      </c>
      <c r="L39" s="6" t="str">
        <f t="shared" si="11"/>
        <v/>
      </c>
    </row>
    <row r="40" spans="1:12" x14ac:dyDescent="0.4">
      <c r="A40" s="6" t="str">
        <f>IF(raw!K15="","",raw!K15)</f>
        <v/>
      </c>
      <c r="B40" s="10" t="str">
        <f>IF(raw!M15="","",raw!M15)</f>
        <v/>
      </c>
      <c r="C40" s="6" t="str">
        <f>IF(raw!T15="","",raw!T15)</f>
        <v/>
      </c>
      <c r="D40" s="4" t="str">
        <f>IF(raw!N15="","",raw!N15)</f>
        <v/>
      </c>
      <c r="E40" s="6" t="str">
        <f>IF(raw!U15="","",raw!U15)</f>
        <v/>
      </c>
      <c r="F40" s="6" t="str">
        <f>IF(raw!W15="","",raw!W15)</f>
        <v/>
      </c>
      <c r="G40" s="6" t="str">
        <f t="shared" si="6"/>
        <v/>
      </c>
      <c r="H40" s="6" t="str">
        <f t="shared" si="7"/>
        <v/>
      </c>
      <c r="I40" s="4" t="str">
        <f t="shared" si="8"/>
        <v/>
      </c>
      <c r="J40" s="6" t="str">
        <f t="shared" si="9"/>
        <v/>
      </c>
      <c r="K40" s="6" t="str">
        <f t="shared" si="10"/>
        <v/>
      </c>
      <c r="L40" s="6" t="str">
        <f t="shared" si="11"/>
        <v/>
      </c>
    </row>
    <row r="41" spans="1:12" x14ac:dyDescent="0.4">
      <c r="A41" s="6" t="str">
        <f>IF(raw!K16="","",raw!K16)</f>
        <v/>
      </c>
      <c r="B41" s="10" t="str">
        <f>IF(raw!M16="","",raw!M16)</f>
        <v/>
      </c>
      <c r="C41" s="6" t="str">
        <f>IF(raw!T16="","",raw!T16)</f>
        <v/>
      </c>
      <c r="D41" s="4" t="str">
        <f>IF(raw!N16="","",raw!N16)</f>
        <v/>
      </c>
      <c r="E41" s="6" t="str">
        <f>IF(raw!U16="","",raw!U16)</f>
        <v/>
      </c>
      <c r="F41" s="6" t="str">
        <f>IF(raw!W16="","",raw!W16)</f>
        <v/>
      </c>
      <c r="G41" s="6" t="str">
        <f t="shared" si="6"/>
        <v/>
      </c>
      <c r="H41" s="6" t="str">
        <f t="shared" si="7"/>
        <v/>
      </c>
      <c r="I41" s="4" t="str">
        <f t="shared" si="8"/>
        <v/>
      </c>
      <c r="J41" s="6" t="str">
        <f t="shared" si="9"/>
        <v/>
      </c>
      <c r="K41" s="6" t="str">
        <f t="shared" si="10"/>
        <v/>
      </c>
      <c r="L41" s="6" t="str">
        <f t="shared" si="11"/>
        <v/>
      </c>
    </row>
    <row r="42" spans="1:12" x14ac:dyDescent="0.4">
      <c r="A42" s="6" t="str">
        <f>IF(raw!K17="","",raw!K17)</f>
        <v/>
      </c>
      <c r="B42" s="10" t="str">
        <f>IF(raw!M17="","",raw!M17)</f>
        <v/>
      </c>
      <c r="C42" s="6" t="str">
        <f>IF(raw!T17="","",raw!T17)</f>
        <v/>
      </c>
      <c r="D42" s="4" t="str">
        <f>IF(raw!N17="","",raw!N17)</f>
        <v/>
      </c>
      <c r="E42" s="6" t="str">
        <f>IF(raw!U17="","",raw!U17)</f>
        <v/>
      </c>
      <c r="F42" s="6" t="str">
        <f>IF(raw!W17="","",raw!W17)</f>
        <v/>
      </c>
      <c r="G42" s="6" t="str">
        <f t="shared" si="6"/>
        <v/>
      </c>
      <c r="H42" s="6" t="str">
        <f t="shared" si="7"/>
        <v/>
      </c>
      <c r="I42" s="4" t="str">
        <f t="shared" si="8"/>
        <v/>
      </c>
      <c r="J42" s="6" t="str">
        <f t="shared" si="9"/>
        <v/>
      </c>
      <c r="K42" s="6" t="str">
        <f t="shared" si="10"/>
        <v/>
      </c>
      <c r="L42" s="6" t="str">
        <f t="shared" si="11"/>
        <v/>
      </c>
    </row>
    <row r="43" spans="1:12" x14ac:dyDescent="0.4">
      <c r="A43" s="6" t="str">
        <f>IF(raw!K18="","",raw!K18)</f>
        <v/>
      </c>
      <c r="B43" s="10" t="str">
        <f>IF(raw!M18="","",raw!M18)</f>
        <v/>
      </c>
      <c r="C43" s="6" t="str">
        <f>IF(raw!T18="","",raw!T18)</f>
        <v/>
      </c>
      <c r="D43" s="4" t="str">
        <f>IF(raw!N18="","",raw!N18)</f>
        <v/>
      </c>
      <c r="E43" s="6" t="str">
        <f>IF(raw!U18="","",raw!U18)</f>
        <v/>
      </c>
      <c r="F43" s="6" t="str">
        <f>IF(raw!W18="","",raw!W18)</f>
        <v/>
      </c>
      <c r="G43" s="6" t="str">
        <f t="shared" si="6"/>
        <v/>
      </c>
      <c r="H43" s="6" t="str">
        <f t="shared" si="7"/>
        <v/>
      </c>
      <c r="I43" s="4" t="str">
        <f t="shared" si="8"/>
        <v/>
      </c>
      <c r="J43" s="6" t="str">
        <f t="shared" si="9"/>
        <v/>
      </c>
      <c r="K43" s="6" t="str">
        <f t="shared" si="10"/>
        <v/>
      </c>
      <c r="L43" s="6" t="str">
        <f t="shared" si="11"/>
        <v/>
      </c>
    </row>
    <row r="44" spans="1:12" x14ac:dyDescent="0.4">
      <c r="A44" s="6" t="str">
        <f>IF(raw!K19="","",raw!K19)</f>
        <v/>
      </c>
      <c r="B44" s="10" t="str">
        <f>IF(raw!M19="","",raw!M19)</f>
        <v/>
      </c>
      <c r="C44" s="6" t="str">
        <f>IF(raw!T19="","",raw!T19)</f>
        <v/>
      </c>
      <c r="D44" s="4" t="str">
        <f>IF(raw!N19="","",raw!N19)</f>
        <v/>
      </c>
      <c r="E44" s="6" t="str">
        <f>IF(raw!U19="","",raw!U19)</f>
        <v/>
      </c>
      <c r="F44" s="6" t="str">
        <f>IF(raw!W19="","",raw!W19)</f>
        <v/>
      </c>
      <c r="G44" s="6" t="str">
        <f t="shared" si="6"/>
        <v/>
      </c>
      <c r="H44" s="6" t="str">
        <f t="shared" si="7"/>
        <v/>
      </c>
      <c r="I44" s="4" t="str">
        <f t="shared" si="8"/>
        <v/>
      </c>
      <c r="J44" s="6" t="str">
        <f t="shared" si="9"/>
        <v/>
      </c>
      <c r="K44" s="6" t="str">
        <f t="shared" si="10"/>
        <v/>
      </c>
      <c r="L44" s="6" t="str">
        <f t="shared" si="11"/>
        <v/>
      </c>
    </row>
    <row r="45" spans="1:12" x14ac:dyDescent="0.4">
      <c r="A45" s="6" t="str">
        <f>IF(raw!K20="","",raw!K20)</f>
        <v/>
      </c>
      <c r="B45" s="10" t="str">
        <f>IF(raw!M20="","",raw!M20)</f>
        <v/>
      </c>
      <c r="C45" s="6" t="str">
        <f>IF(raw!T20="","",raw!T20)</f>
        <v/>
      </c>
      <c r="D45" s="4" t="str">
        <f>IF(raw!N20="","",raw!N20)</f>
        <v/>
      </c>
      <c r="E45" s="6" t="str">
        <f>IF(raw!U20="","",raw!U20)</f>
        <v/>
      </c>
      <c r="F45" s="6" t="str">
        <f>IF(raw!W20="","",raw!W20)</f>
        <v/>
      </c>
      <c r="G45" s="6" t="str">
        <f t="shared" si="6"/>
        <v/>
      </c>
      <c r="H45" s="6" t="str">
        <f t="shared" si="7"/>
        <v/>
      </c>
      <c r="I45" s="4" t="str">
        <f t="shared" si="8"/>
        <v/>
      </c>
      <c r="J45" s="6" t="str">
        <f t="shared" si="9"/>
        <v/>
      </c>
      <c r="K45" s="6" t="str">
        <f t="shared" si="10"/>
        <v/>
      </c>
      <c r="L45" s="6" t="str">
        <f t="shared" si="11"/>
        <v/>
      </c>
    </row>
    <row r="46" spans="1:12" x14ac:dyDescent="0.4">
      <c r="A46" s="6" t="str">
        <f>IF(raw!K21="","",raw!K21)</f>
        <v/>
      </c>
      <c r="B46" s="10" t="str">
        <f>IF(raw!M21="","",raw!M21)</f>
        <v/>
      </c>
      <c r="C46" s="6" t="str">
        <f>IF(raw!T21="","",raw!T21)</f>
        <v/>
      </c>
      <c r="D46" s="4" t="str">
        <f>IF(raw!N21="","",raw!N21)</f>
        <v/>
      </c>
      <c r="E46" s="6" t="str">
        <f>IF(raw!U21="","",raw!U21)</f>
        <v/>
      </c>
      <c r="F46" s="6" t="str">
        <f>IF(raw!W21="","",raw!W21)</f>
        <v/>
      </c>
      <c r="G46" s="6" t="str">
        <f t="shared" si="6"/>
        <v/>
      </c>
      <c r="H46" s="6" t="str">
        <f t="shared" si="7"/>
        <v/>
      </c>
      <c r="I46" s="4" t="str">
        <f t="shared" si="8"/>
        <v/>
      </c>
      <c r="J46" s="6" t="str">
        <f t="shared" si="9"/>
        <v/>
      </c>
      <c r="K46" s="6" t="str">
        <f t="shared" si="10"/>
        <v/>
      </c>
      <c r="L46" s="6" t="str">
        <f t="shared" si="11"/>
        <v/>
      </c>
    </row>
    <row r="47" spans="1:12" x14ac:dyDescent="0.4">
      <c r="A47" s="6" t="str">
        <f>IF(raw!K22="","",raw!K22)</f>
        <v/>
      </c>
      <c r="B47" s="10" t="str">
        <f>IF(raw!M22="","",raw!M22)</f>
        <v/>
      </c>
      <c r="C47" s="6" t="str">
        <f>IF(raw!T22="","",raw!T22)</f>
        <v/>
      </c>
      <c r="D47" s="4" t="str">
        <f>IF(raw!N22="","",raw!N22)</f>
        <v/>
      </c>
      <c r="E47" s="6" t="str">
        <f>IF(raw!U22="","",raw!U22)</f>
        <v/>
      </c>
      <c r="F47" s="6" t="str">
        <f>IF(raw!W22="","",raw!W22)</f>
        <v/>
      </c>
      <c r="G47" s="6" t="str">
        <f t="shared" si="6"/>
        <v/>
      </c>
      <c r="H47" s="6" t="str">
        <f t="shared" si="7"/>
        <v/>
      </c>
      <c r="I47" s="4" t="str">
        <f t="shared" si="8"/>
        <v/>
      </c>
      <c r="J47" s="6" t="str">
        <f t="shared" si="9"/>
        <v/>
      </c>
      <c r="K47" s="6" t="str">
        <f t="shared" si="10"/>
        <v/>
      </c>
      <c r="L47" s="6" t="str">
        <f t="shared" si="11"/>
        <v/>
      </c>
    </row>
    <row r="48" spans="1:12" x14ac:dyDescent="0.4">
      <c r="A48" s="6" t="str">
        <f>IF(raw!K23="","",raw!K23)</f>
        <v/>
      </c>
      <c r="B48" s="10" t="str">
        <f>IF(raw!M23="","",raw!M23)</f>
        <v/>
      </c>
      <c r="C48" s="6" t="str">
        <f>IF(raw!T23="","",raw!T23)</f>
        <v/>
      </c>
      <c r="D48" s="4" t="str">
        <f>IF(raw!N23="","",raw!N23)</f>
        <v/>
      </c>
      <c r="E48" s="6" t="str">
        <f>IF(raw!U23="","",raw!U23)</f>
        <v/>
      </c>
      <c r="F48" s="6" t="str">
        <f>IF(raw!W23="","",raw!W23)</f>
        <v/>
      </c>
      <c r="G48" s="6" t="str">
        <f t="shared" si="6"/>
        <v/>
      </c>
      <c r="H48" s="6" t="str">
        <f t="shared" si="7"/>
        <v/>
      </c>
      <c r="I48" s="4" t="str">
        <f t="shared" si="8"/>
        <v/>
      </c>
      <c r="J48" s="6" t="str">
        <f t="shared" si="9"/>
        <v/>
      </c>
      <c r="K48" s="6" t="str">
        <f t="shared" si="10"/>
        <v/>
      </c>
      <c r="L48" s="6" t="str">
        <f t="shared" si="11"/>
        <v/>
      </c>
    </row>
    <row r="49" spans="1:12" x14ac:dyDescent="0.4">
      <c r="A49" s="6" t="str">
        <f>IF(raw!K24="","",raw!K24)</f>
        <v/>
      </c>
      <c r="B49" s="10" t="str">
        <f>IF(raw!M24="","",raw!M24)</f>
        <v/>
      </c>
      <c r="C49" s="6" t="str">
        <f>IF(raw!T24="","",raw!T24)</f>
        <v/>
      </c>
      <c r="D49" s="4" t="str">
        <f>IF(raw!N24="","",raw!N24)</f>
        <v/>
      </c>
      <c r="E49" s="6" t="str">
        <f>IF(raw!U24="","",raw!U24)</f>
        <v/>
      </c>
      <c r="F49" s="6" t="str">
        <f>IF(raw!W24="","",raw!W24)</f>
        <v/>
      </c>
      <c r="G49" s="6" t="str">
        <f t="shared" si="6"/>
        <v/>
      </c>
      <c r="H49" s="6" t="str">
        <f t="shared" si="7"/>
        <v/>
      </c>
      <c r="I49" s="4" t="str">
        <f t="shared" si="8"/>
        <v/>
      </c>
      <c r="J49" s="6" t="str">
        <f t="shared" si="9"/>
        <v/>
      </c>
      <c r="K49" s="6" t="str">
        <f t="shared" si="10"/>
        <v/>
      </c>
      <c r="L49" s="6" t="str">
        <f t="shared" si="11"/>
        <v/>
      </c>
    </row>
    <row r="50" spans="1:12" x14ac:dyDescent="0.4">
      <c r="A50" s="6" t="str">
        <f>IF(raw!K25="","",raw!K25)</f>
        <v/>
      </c>
      <c r="B50" s="10" t="str">
        <f>IF(raw!M25="","",raw!M25)</f>
        <v/>
      </c>
      <c r="C50" s="6" t="str">
        <f>IF(raw!T25="","",raw!T25)</f>
        <v/>
      </c>
      <c r="D50" s="4" t="str">
        <f>IF(raw!N25="","",raw!N25)</f>
        <v/>
      </c>
      <c r="E50" s="6" t="str">
        <f>IF(raw!U25="","",raw!U25)</f>
        <v/>
      </c>
      <c r="F50" s="6" t="str">
        <f>IF(raw!W25="","",raw!W25)</f>
        <v/>
      </c>
      <c r="G50" s="6" t="str">
        <f t="shared" si="6"/>
        <v/>
      </c>
      <c r="H50" s="6" t="str">
        <f t="shared" si="7"/>
        <v/>
      </c>
      <c r="I50" s="4" t="str">
        <f t="shared" si="8"/>
        <v/>
      </c>
      <c r="J50" s="6" t="str">
        <f t="shared" si="9"/>
        <v/>
      </c>
      <c r="K50" s="6" t="str">
        <f t="shared" si="10"/>
        <v/>
      </c>
      <c r="L50" s="6" t="str">
        <f t="shared" si="11"/>
        <v/>
      </c>
    </row>
    <row r="51" spans="1:12" x14ac:dyDescent="0.4">
      <c r="A51" s="6" t="str">
        <f>IF(raw!K26="","",raw!K26)</f>
        <v/>
      </c>
      <c r="B51" s="10" t="str">
        <f>IF(raw!M26="","",raw!M26)</f>
        <v/>
      </c>
      <c r="C51" s="6" t="str">
        <f>IF(raw!T26="","",raw!T26)</f>
        <v/>
      </c>
      <c r="D51" s="4" t="str">
        <f>IF(raw!N26="","",raw!N26)</f>
        <v/>
      </c>
      <c r="E51" s="6" t="str">
        <f>IF(raw!U26="","",raw!U26)</f>
        <v/>
      </c>
      <c r="F51" s="6" t="str">
        <f>IF(raw!W26="","",raw!W26)</f>
        <v/>
      </c>
      <c r="G51" s="6" t="str">
        <f t="shared" si="6"/>
        <v/>
      </c>
      <c r="H51" s="6" t="str">
        <f t="shared" si="7"/>
        <v/>
      </c>
      <c r="I51" s="4" t="str">
        <f t="shared" si="8"/>
        <v/>
      </c>
      <c r="J51" s="6" t="str">
        <f t="shared" si="9"/>
        <v/>
      </c>
      <c r="K51" s="6" t="str">
        <f t="shared" si="10"/>
        <v/>
      </c>
      <c r="L51" s="6" t="str">
        <f t="shared" si="11"/>
        <v/>
      </c>
    </row>
    <row r="52" spans="1:12" x14ac:dyDescent="0.4">
      <c r="A52" s="6" t="str">
        <f>IF(raw!K27="","",raw!K27)</f>
        <v/>
      </c>
      <c r="B52" s="10" t="str">
        <f>IF(raw!M27="","",raw!M27)</f>
        <v/>
      </c>
      <c r="C52" s="6" t="str">
        <f>IF(raw!T27="","",raw!T27)</f>
        <v/>
      </c>
      <c r="D52" s="4" t="str">
        <f>IF(raw!N27="","",raw!N27)</f>
        <v/>
      </c>
      <c r="E52" s="6" t="str">
        <f>IF(raw!U27="","",raw!U27)</f>
        <v/>
      </c>
      <c r="F52" s="6" t="str">
        <f>IF(raw!W27="","",raw!W27)</f>
        <v/>
      </c>
      <c r="G52" s="6" t="str">
        <f t="shared" si="6"/>
        <v/>
      </c>
      <c r="H52" s="6" t="str">
        <f t="shared" si="7"/>
        <v/>
      </c>
      <c r="I52" s="4" t="str">
        <f t="shared" si="8"/>
        <v/>
      </c>
      <c r="J52" s="6" t="str">
        <f t="shared" si="9"/>
        <v/>
      </c>
      <c r="K52" s="6" t="str">
        <f t="shared" si="10"/>
        <v/>
      </c>
      <c r="L52" s="6" t="str">
        <f t="shared" si="11"/>
        <v/>
      </c>
    </row>
    <row r="53" spans="1:12" x14ac:dyDescent="0.4">
      <c r="A53" s="6" t="str">
        <f>IF(raw!K28="","",raw!K28)</f>
        <v/>
      </c>
      <c r="B53" s="10" t="str">
        <f>IF(raw!M28="","",raw!M28)</f>
        <v/>
      </c>
      <c r="C53" s="6" t="str">
        <f>IF(raw!T28="","",raw!T28)</f>
        <v/>
      </c>
      <c r="D53" s="4" t="str">
        <f>IF(raw!N28="","",raw!N28)</f>
        <v/>
      </c>
      <c r="E53" s="6" t="str">
        <f>IF(raw!U28="","",raw!U28)</f>
        <v/>
      </c>
      <c r="F53" s="6" t="str">
        <f>IF(raw!W28="","",raw!W28)</f>
        <v/>
      </c>
      <c r="G53" s="6" t="str">
        <f t="shared" si="6"/>
        <v/>
      </c>
      <c r="H53" s="6" t="str">
        <f t="shared" si="7"/>
        <v/>
      </c>
      <c r="I53" s="4" t="str">
        <f t="shared" si="8"/>
        <v/>
      </c>
      <c r="J53" s="6" t="str">
        <f t="shared" si="9"/>
        <v/>
      </c>
      <c r="K53" s="6" t="str">
        <f t="shared" si="10"/>
        <v/>
      </c>
      <c r="L53" s="6" t="str">
        <f t="shared" si="11"/>
        <v/>
      </c>
    </row>
    <row r="54" spans="1:12" x14ac:dyDescent="0.4">
      <c r="A54" s="6" t="str">
        <f>IF(raw!K29="","",raw!K29)</f>
        <v/>
      </c>
      <c r="B54" s="10" t="str">
        <f>IF(raw!M29="","",raw!M29)</f>
        <v/>
      </c>
      <c r="C54" s="6" t="str">
        <f>IF(raw!T29="","",raw!T29)</f>
        <v/>
      </c>
      <c r="D54" s="4" t="str">
        <f>IF(raw!N29="","",raw!N29)</f>
        <v/>
      </c>
      <c r="E54" s="6" t="str">
        <f>IF(raw!U29="","",raw!U29)</f>
        <v/>
      </c>
      <c r="F54" s="6" t="str">
        <f>IF(raw!W29="","",raw!W29)</f>
        <v/>
      </c>
      <c r="G54" s="6" t="str">
        <f t="shared" si="6"/>
        <v/>
      </c>
      <c r="H54" s="6" t="str">
        <f t="shared" si="7"/>
        <v/>
      </c>
      <c r="I54" s="4" t="str">
        <f t="shared" si="8"/>
        <v/>
      </c>
      <c r="J54" s="6" t="str">
        <f t="shared" si="9"/>
        <v/>
      </c>
      <c r="K54" s="6" t="str">
        <f t="shared" si="10"/>
        <v/>
      </c>
      <c r="L54" s="6" t="str">
        <f t="shared" si="11"/>
        <v/>
      </c>
    </row>
    <row r="55" spans="1:12" x14ac:dyDescent="0.4">
      <c r="A55" s="6" t="str">
        <f>IF(raw!K30="","",raw!K30)</f>
        <v/>
      </c>
      <c r="B55" s="10" t="str">
        <f>IF(raw!M30="","",raw!M30)</f>
        <v/>
      </c>
      <c r="C55" s="6" t="str">
        <f>IF(raw!T30="","",raw!T30)</f>
        <v/>
      </c>
      <c r="D55" s="4" t="str">
        <f>IF(raw!N30="","",raw!N30)</f>
        <v/>
      </c>
      <c r="E55" s="6" t="str">
        <f>IF(raw!U30="","",raw!U30)</f>
        <v/>
      </c>
      <c r="F55" s="6" t="str">
        <f>IF(raw!W30="","",raw!W30)</f>
        <v/>
      </c>
      <c r="G55" s="6" t="str">
        <f t="shared" si="6"/>
        <v/>
      </c>
      <c r="H55" s="6" t="str">
        <f t="shared" si="7"/>
        <v/>
      </c>
      <c r="I55" s="4" t="str">
        <f t="shared" si="8"/>
        <v/>
      </c>
      <c r="J55" s="6" t="str">
        <f t="shared" si="9"/>
        <v/>
      </c>
      <c r="K55" s="6" t="str">
        <f t="shared" si="10"/>
        <v/>
      </c>
      <c r="L55" s="6" t="str">
        <f t="shared" si="11"/>
        <v/>
      </c>
    </row>
    <row r="56" spans="1:12" x14ac:dyDescent="0.4">
      <c r="A56" s="6" t="str">
        <f>IF(raw!K31="","",raw!K31)</f>
        <v/>
      </c>
      <c r="B56" s="10" t="str">
        <f>IF(raw!M31="","",raw!M31)</f>
        <v/>
      </c>
      <c r="C56" s="6" t="str">
        <f>IF(raw!T31="","",raw!T31)</f>
        <v/>
      </c>
      <c r="D56" s="4" t="str">
        <f>IF(raw!N31="","",raw!N31)</f>
        <v/>
      </c>
      <c r="E56" s="6" t="str">
        <f>IF(raw!U31="","",raw!U31)</f>
        <v/>
      </c>
      <c r="F56" s="6" t="str">
        <f>IF(raw!W31="","",raw!W31)</f>
        <v/>
      </c>
      <c r="G56" s="6" t="str">
        <f t="shared" si="6"/>
        <v/>
      </c>
      <c r="H56" s="6" t="str">
        <f t="shared" si="7"/>
        <v/>
      </c>
      <c r="I56" s="4" t="str">
        <f t="shared" si="8"/>
        <v/>
      </c>
      <c r="J56" s="6" t="str">
        <f t="shared" si="9"/>
        <v/>
      </c>
      <c r="K56" s="6" t="str">
        <f t="shared" si="10"/>
        <v/>
      </c>
      <c r="L56" s="6" t="str">
        <f t="shared" si="11"/>
        <v/>
      </c>
    </row>
    <row r="57" spans="1:12" x14ac:dyDescent="0.4">
      <c r="A57" s="6" t="str">
        <f>IF(raw!K32="","",raw!K32)</f>
        <v/>
      </c>
      <c r="B57" s="10" t="str">
        <f>IF(raw!M32="","",raw!M32)</f>
        <v/>
      </c>
      <c r="C57" s="6" t="str">
        <f>IF(raw!T32="","",raw!T32)</f>
        <v/>
      </c>
      <c r="D57" s="4" t="str">
        <f>IF(raw!N32="","",raw!N32)</f>
        <v/>
      </c>
      <c r="E57" s="6" t="str">
        <f>IF(raw!U32="","",raw!U32)</f>
        <v/>
      </c>
      <c r="F57" s="6" t="str">
        <f>IF(raw!W32="","",raw!W32)</f>
        <v/>
      </c>
      <c r="G57" s="6" t="str">
        <f t="shared" si="6"/>
        <v/>
      </c>
      <c r="H57" s="6" t="str">
        <f t="shared" si="7"/>
        <v/>
      </c>
      <c r="I57" s="4" t="str">
        <f t="shared" si="8"/>
        <v/>
      </c>
      <c r="J57" s="6" t="str">
        <f t="shared" si="9"/>
        <v/>
      </c>
      <c r="K57" s="6" t="str">
        <f t="shared" si="10"/>
        <v/>
      </c>
      <c r="L57" s="6" t="str">
        <f t="shared" si="11"/>
        <v/>
      </c>
    </row>
    <row r="58" spans="1:12" x14ac:dyDescent="0.4">
      <c r="A58" s="6" t="str">
        <f>IF(raw!K33="","",raw!K33)</f>
        <v/>
      </c>
      <c r="B58" s="10" t="str">
        <f>IF(raw!M33="","",raw!M33)</f>
        <v/>
      </c>
      <c r="C58" s="6" t="str">
        <f>IF(raw!T33="","",raw!T33)</f>
        <v/>
      </c>
      <c r="D58" s="4" t="str">
        <f>IF(raw!N33="","",raw!N33)</f>
        <v/>
      </c>
      <c r="E58" s="6" t="str">
        <f>IF(raw!U33="","",raw!U33)</f>
        <v/>
      </c>
      <c r="F58" s="6" t="str">
        <f>IF(raw!W33="","",raw!W33)</f>
        <v/>
      </c>
      <c r="G58" s="6" t="str">
        <f t="shared" si="6"/>
        <v/>
      </c>
      <c r="H58" s="6" t="str">
        <f t="shared" si="7"/>
        <v/>
      </c>
      <c r="I58" s="4" t="str">
        <f t="shared" si="8"/>
        <v/>
      </c>
      <c r="J58" s="6" t="str">
        <f t="shared" si="9"/>
        <v/>
      </c>
      <c r="K58" s="6" t="str">
        <f t="shared" si="10"/>
        <v/>
      </c>
      <c r="L58" s="6" t="str">
        <f t="shared" si="11"/>
        <v/>
      </c>
    </row>
    <row r="59" spans="1:12" x14ac:dyDescent="0.4">
      <c r="A59" s="6" t="str">
        <f>IF(raw!K34="","",raw!K34)</f>
        <v/>
      </c>
      <c r="B59" s="10" t="str">
        <f>IF(raw!M34="","",raw!M34)</f>
        <v/>
      </c>
      <c r="C59" s="6" t="str">
        <f>IF(raw!T34="","",raw!T34)</f>
        <v/>
      </c>
      <c r="D59" s="4" t="str">
        <f>IF(raw!N34="","",raw!N34)</f>
        <v/>
      </c>
      <c r="E59" s="6" t="str">
        <f>IF(raw!U34="","",raw!U34)</f>
        <v/>
      </c>
      <c r="F59" s="6" t="str">
        <f>IF(raw!W34="","",raw!W34)</f>
        <v/>
      </c>
      <c r="G59" s="6" t="str">
        <f t="shared" si="6"/>
        <v/>
      </c>
      <c r="H59" s="6" t="str">
        <f t="shared" si="7"/>
        <v/>
      </c>
      <c r="I59" s="4" t="str">
        <f t="shared" si="8"/>
        <v/>
      </c>
      <c r="J59" s="6" t="str">
        <f t="shared" si="9"/>
        <v/>
      </c>
      <c r="K59" s="6" t="str">
        <f t="shared" si="10"/>
        <v/>
      </c>
      <c r="L59" s="6" t="str">
        <f t="shared" si="11"/>
        <v/>
      </c>
    </row>
    <row r="60" spans="1:12" x14ac:dyDescent="0.4">
      <c r="A60" s="6" t="str">
        <f>IF(raw!K35="","",raw!K35)</f>
        <v/>
      </c>
      <c r="B60" s="10" t="str">
        <f>IF(raw!M35="","",raw!M35)</f>
        <v/>
      </c>
      <c r="C60" s="6" t="str">
        <f>IF(raw!T35="","",raw!T35)</f>
        <v/>
      </c>
      <c r="D60" s="4" t="str">
        <f>IF(raw!N35="","",raw!N35)</f>
        <v/>
      </c>
      <c r="E60" s="6" t="str">
        <f>IF(raw!U35="","",raw!U35)</f>
        <v/>
      </c>
      <c r="F60" s="6" t="str">
        <f>IF(raw!W35="","",raw!W35)</f>
        <v/>
      </c>
      <c r="G60" s="6" t="str">
        <f t="shared" si="6"/>
        <v/>
      </c>
      <c r="H60" s="6" t="str">
        <f t="shared" si="7"/>
        <v/>
      </c>
      <c r="I60" s="4" t="str">
        <f t="shared" si="8"/>
        <v/>
      </c>
      <c r="J60" s="6" t="str">
        <f t="shared" si="9"/>
        <v/>
      </c>
      <c r="K60" s="6" t="str">
        <f t="shared" si="10"/>
        <v/>
      </c>
      <c r="L60" s="6" t="str">
        <f t="shared" si="11"/>
        <v/>
      </c>
    </row>
    <row r="61" spans="1:12" x14ac:dyDescent="0.4">
      <c r="A61" s="6" t="str">
        <f>IF(raw!K36="","",raw!K36)</f>
        <v/>
      </c>
      <c r="B61" s="10" t="str">
        <f>IF(raw!M36="","",raw!M36)</f>
        <v/>
      </c>
      <c r="C61" s="6" t="str">
        <f>IF(raw!T36="","",raw!T36)</f>
        <v/>
      </c>
      <c r="D61" s="4" t="str">
        <f>IF(raw!N36="","",raw!N36)</f>
        <v/>
      </c>
      <c r="E61" s="6" t="str">
        <f>IF(raw!U36="","",raw!U36)</f>
        <v/>
      </c>
      <c r="F61" s="6" t="str">
        <f>IF(raw!W36="","",raw!W36)</f>
        <v/>
      </c>
      <c r="G61" s="6" t="str">
        <f t="shared" si="6"/>
        <v/>
      </c>
      <c r="H61" s="6" t="str">
        <f t="shared" si="7"/>
        <v/>
      </c>
      <c r="I61" s="4" t="str">
        <f t="shared" si="8"/>
        <v/>
      </c>
      <c r="J61" s="6" t="str">
        <f t="shared" si="9"/>
        <v/>
      </c>
      <c r="K61" s="6" t="str">
        <f t="shared" si="10"/>
        <v/>
      </c>
      <c r="L61" s="6" t="str">
        <f t="shared" si="11"/>
        <v/>
      </c>
    </row>
    <row r="62" spans="1:12" x14ac:dyDescent="0.4">
      <c r="A62" s="6" t="str">
        <f>IF(raw!K37="","",raw!K37)</f>
        <v/>
      </c>
      <c r="B62" s="10" t="str">
        <f>IF(raw!M37="","",raw!M37)</f>
        <v/>
      </c>
      <c r="C62" s="6" t="str">
        <f>IF(raw!T37="","",raw!T37)</f>
        <v/>
      </c>
      <c r="D62" s="4" t="str">
        <f>IF(raw!N37="","",raw!N37)</f>
        <v/>
      </c>
      <c r="E62" s="6" t="str">
        <f>IF(raw!U37="","",raw!U37)</f>
        <v/>
      </c>
      <c r="F62" s="6" t="str">
        <f>IF(raw!W37="","",raw!W37)</f>
        <v/>
      </c>
      <c r="G62" s="6" t="str">
        <f t="shared" si="6"/>
        <v/>
      </c>
      <c r="H62" s="6" t="str">
        <f t="shared" si="7"/>
        <v/>
      </c>
      <c r="I62" s="4" t="str">
        <f t="shared" si="8"/>
        <v/>
      </c>
      <c r="J62" s="6" t="str">
        <f t="shared" si="9"/>
        <v/>
      </c>
      <c r="K62" s="6" t="str">
        <f t="shared" si="10"/>
        <v/>
      </c>
      <c r="L62" s="6" t="str">
        <f t="shared" si="11"/>
        <v/>
      </c>
    </row>
    <row r="63" spans="1:12" x14ac:dyDescent="0.4">
      <c r="A63" s="6" t="str">
        <f>IF(raw!K38="","",raw!K38)</f>
        <v/>
      </c>
      <c r="B63" s="10" t="str">
        <f>IF(raw!M38="","",raw!M38)</f>
        <v/>
      </c>
      <c r="C63" s="6" t="str">
        <f>IF(raw!T38="","",raw!T38)</f>
        <v/>
      </c>
      <c r="D63" s="4" t="str">
        <f>IF(raw!N38="","",raw!N38)</f>
        <v/>
      </c>
      <c r="E63" s="6" t="str">
        <f>IF(raw!U38="","",raw!U38)</f>
        <v/>
      </c>
      <c r="F63" s="6" t="str">
        <f>IF(raw!W38="","",raw!W38)</f>
        <v/>
      </c>
      <c r="G63" s="6" t="str">
        <f t="shared" si="6"/>
        <v/>
      </c>
      <c r="H63" s="6" t="str">
        <f t="shared" si="7"/>
        <v/>
      </c>
      <c r="I63" s="4" t="str">
        <f t="shared" si="8"/>
        <v/>
      </c>
      <c r="J63" s="6" t="str">
        <f t="shared" si="9"/>
        <v/>
      </c>
      <c r="K63" s="6" t="str">
        <f t="shared" si="10"/>
        <v/>
      </c>
      <c r="L63" s="6" t="str">
        <f t="shared" si="11"/>
        <v/>
      </c>
    </row>
    <row r="64" spans="1:12" x14ac:dyDescent="0.4">
      <c r="A64" s="6" t="str">
        <f>IF(raw!K39="","",raw!K39)</f>
        <v/>
      </c>
      <c r="B64" s="10" t="str">
        <f>IF(raw!M39="","",raw!M39)</f>
        <v/>
      </c>
      <c r="C64" s="6" t="str">
        <f>IF(raw!T39="","",raw!T39)</f>
        <v/>
      </c>
      <c r="D64" s="4" t="str">
        <f>IF(raw!N39="","",raw!N39)</f>
        <v/>
      </c>
      <c r="E64" s="6" t="str">
        <f>IF(raw!U39="","",raw!U39)</f>
        <v/>
      </c>
      <c r="F64" s="6" t="str">
        <f>IF(raw!W39="","",raw!W39)</f>
        <v/>
      </c>
      <c r="G64" s="6" t="str">
        <f t="shared" si="6"/>
        <v/>
      </c>
      <c r="H64" s="6" t="str">
        <f t="shared" si="7"/>
        <v/>
      </c>
      <c r="I64" s="4" t="str">
        <f t="shared" si="8"/>
        <v/>
      </c>
      <c r="J64" s="6" t="str">
        <f t="shared" si="9"/>
        <v/>
      </c>
      <c r="K64" s="6" t="str">
        <f t="shared" si="10"/>
        <v/>
      </c>
      <c r="L64" s="6" t="str">
        <f t="shared" si="11"/>
        <v/>
      </c>
    </row>
    <row r="65" spans="1:12" x14ac:dyDescent="0.4">
      <c r="A65" s="6" t="str">
        <f>IF(raw!K40="","",raw!K40)</f>
        <v/>
      </c>
      <c r="B65" s="10" t="str">
        <f>IF(raw!M40="","",raw!M40)</f>
        <v/>
      </c>
      <c r="C65" s="6" t="str">
        <f>IF(raw!T40="","",raw!T40)</f>
        <v/>
      </c>
      <c r="D65" s="4" t="str">
        <f>IF(raw!N40="","",raw!N40)</f>
        <v/>
      </c>
      <c r="E65" s="6" t="str">
        <f>IF(raw!U40="","",raw!U40)</f>
        <v/>
      </c>
      <c r="F65" s="6" t="str">
        <f>IF(raw!W40="","",raw!W40)</f>
        <v/>
      </c>
      <c r="G65" s="6" t="str">
        <f t="shared" si="6"/>
        <v/>
      </c>
      <c r="H65" s="6" t="str">
        <f t="shared" si="7"/>
        <v/>
      </c>
      <c r="I65" s="4" t="str">
        <f t="shared" si="8"/>
        <v/>
      </c>
      <c r="J65" s="6" t="str">
        <f t="shared" si="9"/>
        <v/>
      </c>
      <c r="K65" s="6" t="str">
        <f t="shared" si="10"/>
        <v/>
      </c>
      <c r="L65" s="6" t="str">
        <f t="shared" si="11"/>
        <v/>
      </c>
    </row>
    <row r="66" spans="1:12" x14ac:dyDescent="0.4">
      <c r="A66" s="6" t="str">
        <f>IF(raw!K41="","",raw!K41)</f>
        <v/>
      </c>
      <c r="B66" s="10" t="str">
        <f>IF(raw!M41="","",raw!M41)</f>
        <v/>
      </c>
      <c r="C66" s="6" t="str">
        <f>IF(raw!T41="","",raw!T41)</f>
        <v/>
      </c>
      <c r="D66" s="4" t="str">
        <f>IF(raw!N41="","",raw!N41)</f>
        <v/>
      </c>
      <c r="E66" s="6" t="str">
        <f>IF(raw!U41="","",raw!U41)</f>
        <v/>
      </c>
      <c r="F66" s="6" t="str">
        <f>IF(raw!W41="","",raw!W41)</f>
        <v/>
      </c>
      <c r="G66" s="6" t="str">
        <f t="shared" si="6"/>
        <v/>
      </c>
      <c r="H66" s="6" t="str">
        <f t="shared" si="7"/>
        <v/>
      </c>
      <c r="I66" s="4" t="str">
        <f t="shared" ref="I66:I97" si="12">IF(G66="","",ROUND(G66*H66,3))</f>
        <v/>
      </c>
      <c r="J66" s="6" t="str">
        <f t="shared" si="9"/>
        <v/>
      </c>
      <c r="K66" s="6" t="str">
        <f t="shared" si="10"/>
        <v/>
      </c>
      <c r="L66" s="6" t="str">
        <f t="shared" ref="L66:L97" si="13">IF(B66="","",ROUND(H66*K66*J66,3))</f>
        <v/>
      </c>
    </row>
    <row r="67" spans="1:12" x14ac:dyDescent="0.4">
      <c r="D67" s="4" t="str">
        <f>IF(raw!N64="","",raw!N64)</f>
        <v/>
      </c>
      <c r="L67" s="2" t="str">
        <f t="shared" si="13"/>
        <v/>
      </c>
    </row>
    <row r="68" spans="1:12" x14ac:dyDescent="0.4">
      <c r="D68" s="4" t="str">
        <f>IF(raw!N65="","",raw!N65)</f>
        <v/>
      </c>
      <c r="L68" s="2" t="str">
        <f t="shared" si="13"/>
        <v/>
      </c>
    </row>
  </sheetData>
  <phoneticPr fontId="1"/>
  <conditionalFormatting sqref="I1:I1048576 L1:L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2"/>
  <sheetViews>
    <sheetView workbookViewId="0">
      <pane ySplit="1" topLeftCell="A2" activePane="bottomLeft" state="frozen"/>
      <selection pane="bottomLeft" activeCell="F4" sqref="F4"/>
    </sheetView>
  </sheetViews>
  <sheetFormatPr defaultRowHeight="18.75" x14ac:dyDescent="0.4"/>
  <cols>
    <col min="1" max="1" width="17.875" customWidth="1"/>
    <col min="2" max="2" width="14.875" style="10" customWidth="1"/>
    <col min="3" max="3" width="17.5" hidden="1" customWidth="1"/>
    <col min="4" max="5" width="13.375" hidden="1" customWidth="1"/>
    <col min="6" max="6" width="14.875" customWidth="1"/>
    <col min="7" max="7" width="11.625" customWidth="1"/>
    <col min="8" max="8" width="13.125" customWidth="1"/>
  </cols>
  <sheetData>
    <row r="1" spans="1:8" s="7" customFormat="1" ht="18" x14ac:dyDescent="0.4">
      <c r="A1" s="7" t="str">
        <f>IF(raw!K1="","",raw!K1)</f>
        <v>名称</v>
      </c>
      <c r="B1" s="9" t="str">
        <f>IF(raw!M1="","",raw!M1)</f>
        <v>売上高</v>
      </c>
      <c r="C1" s="7" t="str">
        <f>IF(raw!L1="","",raw!L1)</f>
        <v>営業利益</v>
      </c>
      <c r="D1" s="7" t="str">
        <f>IF(raw!T1="","",raw!T1)</f>
        <v>経常利益</v>
      </c>
      <c r="E1" s="7" t="str">
        <f>IF(raw!N1="","",raw!N1)</f>
        <v>当期利益</v>
      </c>
      <c r="F1" s="7" t="s">
        <v>6</v>
      </c>
      <c r="G1" s="7" t="s">
        <v>7</v>
      </c>
      <c r="H1" s="7" t="s">
        <v>8</v>
      </c>
    </row>
    <row r="2" spans="1:8" x14ac:dyDescent="0.4">
      <c r="A2" s="2" t="str">
        <f>IF(raw!K2="","",raw!K2)</f>
        <v>ローソン</v>
      </c>
      <c r="B2" s="10">
        <f>IF(raw!M2="","",raw!M2)</f>
        <v>583452000000</v>
      </c>
      <c r="C2" s="2">
        <f>IF(raw!L2="","",raw!L2)</f>
        <v>72541000000</v>
      </c>
      <c r="D2" s="2">
        <f>IF(raw!T2="","",raw!T2)</f>
        <v>69622000000</v>
      </c>
      <c r="E2" s="2">
        <f>IF(raw!N2="","",raw!N2)</f>
        <v>31381000000</v>
      </c>
      <c r="F2" s="6">
        <f t="shared" ref="F2:F33" si="0">IF(B2="", "", ROUND(C2/B2, 3))</f>
        <v>0.124</v>
      </c>
      <c r="G2" s="6">
        <f t="shared" ref="G2:G33" si="1">IF(B2="", "", ROUND(D2/B2, 3))</f>
        <v>0.11899999999999999</v>
      </c>
      <c r="H2" s="6">
        <f t="shared" ref="H2:H33" si="2">IF(B2="", "", ROUND(E2/B2, 3))</f>
        <v>5.3999999999999999E-2</v>
      </c>
    </row>
    <row r="3" spans="1:8" x14ac:dyDescent="0.4">
      <c r="A3" s="2" t="str">
        <f>IF(raw!K3="","",raw!K3)</f>
        <v>シー・ヴイ・エス・ベイエリア</v>
      </c>
      <c r="B3" s="10">
        <f>IF(raw!M3="","",raw!M3)</f>
        <v>29193000000</v>
      </c>
      <c r="C3" s="2">
        <f>IF(raw!L3="","",raw!L3)</f>
        <v>151000000</v>
      </c>
      <c r="D3" s="2">
        <f>IF(raw!T3="","",raw!T3)</f>
        <v>145000000</v>
      </c>
      <c r="E3" s="2">
        <f>IF(raw!N3="","",raw!N3)</f>
        <v>198000000</v>
      </c>
      <c r="F3" s="6">
        <f t="shared" si="0"/>
        <v>5.0000000000000001E-3</v>
      </c>
      <c r="G3" s="6">
        <f t="shared" si="1"/>
        <v>5.0000000000000001E-3</v>
      </c>
      <c r="H3" s="6">
        <f t="shared" si="2"/>
        <v>7.0000000000000001E-3</v>
      </c>
    </row>
    <row r="4" spans="1:8" x14ac:dyDescent="0.4">
      <c r="A4" s="2" t="str">
        <f>IF(raw!K4="","",raw!K4)</f>
        <v>サークルＫサンクス</v>
      </c>
      <c r="B4" s="10">
        <f>IF(raw!M4="","",raw!M4)</f>
        <v>187799000000</v>
      </c>
      <c r="C4" s="2">
        <f>IF(raw!L4="","",raw!L4)</f>
        <v>21957000000</v>
      </c>
      <c r="D4" s="2">
        <f>IF(raw!T4="","",raw!T4)</f>
        <v>21338000000</v>
      </c>
      <c r="E4" s="2">
        <f>IF(raw!N4="","",raw!N4)</f>
        <v>9378000000</v>
      </c>
      <c r="F4" s="6">
        <f t="shared" si="0"/>
        <v>0.11700000000000001</v>
      </c>
      <c r="G4" s="6">
        <f t="shared" si="1"/>
        <v>0.114</v>
      </c>
      <c r="H4" s="6">
        <f t="shared" si="2"/>
        <v>0.05</v>
      </c>
    </row>
    <row r="5" spans="1:8" x14ac:dyDescent="0.4">
      <c r="A5" s="2" t="str">
        <f>IF(raw!K5="","",raw!K5)</f>
        <v>セブン＆アイ・ホールディングス</v>
      </c>
      <c r="B5" s="10">
        <f>IF(raw!M5="","",raw!M5)</f>
        <v>6045704000000</v>
      </c>
      <c r="C5" s="2">
        <f>IF(raw!L5="","",raw!L5)</f>
        <v>352320000000</v>
      </c>
      <c r="D5" s="2">
        <f>IF(raw!T5="","",raw!T5)</f>
        <v>350165000000</v>
      </c>
      <c r="E5" s="2">
        <f>IF(raw!N5="","",raw!N5)</f>
        <v>160930000000</v>
      </c>
      <c r="F5" s="6">
        <f t="shared" si="0"/>
        <v>5.8000000000000003E-2</v>
      </c>
      <c r="G5" s="6">
        <f t="shared" si="1"/>
        <v>5.8000000000000003E-2</v>
      </c>
      <c r="H5" s="6">
        <f t="shared" si="2"/>
        <v>2.7E-2</v>
      </c>
    </row>
    <row r="6" spans="1:8" x14ac:dyDescent="0.4">
      <c r="A6" s="2" t="str">
        <f>IF(raw!K6="","",raw!K6)</f>
        <v>スリーエフ</v>
      </c>
      <c r="B6" s="10">
        <f>IF(raw!M6="","",raw!M6)</f>
        <v>19036000000</v>
      </c>
      <c r="C6" s="2">
        <f>IF(raw!L6="","",raw!L6)</f>
        <v>-886000000</v>
      </c>
      <c r="D6" s="2">
        <f>IF(raw!T6="","",raw!T6)</f>
        <v>-862000000</v>
      </c>
      <c r="E6" s="2">
        <f>IF(raw!N6="","",raw!N6)</f>
        <v>-2542000000</v>
      </c>
      <c r="F6" s="6">
        <f t="shared" si="0"/>
        <v>-4.7E-2</v>
      </c>
      <c r="G6" s="6">
        <f t="shared" si="1"/>
        <v>-4.4999999999999998E-2</v>
      </c>
      <c r="H6" s="6">
        <f t="shared" si="2"/>
        <v>-0.13400000000000001</v>
      </c>
    </row>
    <row r="7" spans="1:8" x14ac:dyDescent="0.4">
      <c r="A7" s="2" t="str">
        <f>IF(raw!K7="","",raw!K7)</f>
        <v>ポプラ</v>
      </c>
      <c r="B7" s="10">
        <f>IF(raw!M7="","",raw!M7)</f>
        <v>38777000000</v>
      </c>
      <c r="C7" s="2">
        <f>IF(raw!L7="","",raw!L7)</f>
        <v>82000000</v>
      </c>
      <c r="D7" s="2">
        <f>IF(raw!T7="","",raw!T7)</f>
        <v>129000000</v>
      </c>
      <c r="E7" s="2">
        <f>IF(raw!N7="","",raw!N7)</f>
        <v>60000000</v>
      </c>
      <c r="F7" s="6">
        <f t="shared" si="0"/>
        <v>2E-3</v>
      </c>
      <c r="G7" s="6">
        <f t="shared" si="1"/>
        <v>3.0000000000000001E-3</v>
      </c>
      <c r="H7" s="6">
        <f t="shared" si="2"/>
        <v>2E-3</v>
      </c>
    </row>
    <row r="8" spans="1:8" x14ac:dyDescent="0.4">
      <c r="A8" s="2" t="str">
        <f>IF(raw!K8="","",raw!K8)</f>
        <v>ファミリーマート</v>
      </c>
      <c r="B8" s="10">
        <f>IF(raw!M8="","",raw!M8)</f>
        <v>427676000000</v>
      </c>
      <c r="C8" s="2">
        <f>IF(raw!L8="","",raw!L8)</f>
        <v>48734000000</v>
      </c>
      <c r="D8" s="2">
        <f>IF(raw!T8="","",raw!T8)</f>
        <v>51888000000</v>
      </c>
      <c r="E8" s="2">
        <f>IF(raw!N8="","",raw!N8)</f>
        <v>21067000000</v>
      </c>
      <c r="F8" s="6">
        <f t="shared" si="0"/>
        <v>0.114</v>
      </c>
      <c r="G8" s="6">
        <f t="shared" si="1"/>
        <v>0.121</v>
      </c>
      <c r="H8" s="6">
        <f t="shared" si="2"/>
        <v>4.9000000000000002E-2</v>
      </c>
    </row>
    <row r="9" spans="1:8" x14ac:dyDescent="0.4">
      <c r="A9" s="2" t="e">
        <f>IF(raw!#REF!="","",raw!#REF!)</f>
        <v>#REF!</v>
      </c>
      <c r="B9" s="10" t="e">
        <f>IF(raw!#REF!="","",raw!#REF!)</f>
        <v>#REF!</v>
      </c>
      <c r="C9" s="2" t="e">
        <f>IF(raw!#REF!="","",raw!#REF!)</f>
        <v>#REF!</v>
      </c>
      <c r="D9" s="2" t="e">
        <f>IF(raw!#REF!="","",raw!#REF!)</f>
        <v>#REF!</v>
      </c>
      <c r="E9" s="2" t="e">
        <f>IF(raw!#REF!="","",raw!#REF!)</f>
        <v>#REF!</v>
      </c>
      <c r="F9" s="6" t="e">
        <f t="shared" si="0"/>
        <v>#REF!</v>
      </c>
      <c r="G9" s="6" t="e">
        <f t="shared" si="1"/>
        <v>#REF!</v>
      </c>
      <c r="H9" s="6" t="e">
        <f t="shared" si="2"/>
        <v>#REF!</v>
      </c>
    </row>
    <row r="10" spans="1:8" x14ac:dyDescent="0.4">
      <c r="A10" s="2" t="e">
        <f>IF(raw!#REF!="","",raw!#REF!)</f>
        <v>#REF!</v>
      </c>
      <c r="B10" s="10" t="e">
        <f>IF(raw!#REF!="","",raw!#REF!)</f>
        <v>#REF!</v>
      </c>
      <c r="C10" s="2" t="e">
        <f>IF(raw!#REF!="","",raw!#REF!)</f>
        <v>#REF!</v>
      </c>
      <c r="D10" s="2" t="e">
        <f>IF(raw!#REF!="","",raw!#REF!)</f>
        <v>#REF!</v>
      </c>
      <c r="E10" s="2" t="e">
        <f>IF(raw!#REF!="","",raw!#REF!)</f>
        <v>#REF!</v>
      </c>
      <c r="F10" s="6" t="e">
        <f t="shared" si="0"/>
        <v>#REF!</v>
      </c>
      <c r="G10" s="6" t="e">
        <f t="shared" si="1"/>
        <v>#REF!</v>
      </c>
      <c r="H10" s="6" t="e">
        <f t="shared" si="2"/>
        <v>#REF!</v>
      </c>
    </row>
    <row r="11" spans="1:8" x14ac:dyDescent="0.4">
      <c r="A11" s="2" t="e">
        <f>IF(raw!#REF!="","",raw!#REF!)</f>
        <v>#REF!</v>
      </c>
      <c r="B11" s="10" t="e">
        <f>IF(raw!#REF!="","",raw!#REF!)</f>
        <v>#REF!</v>
      </c>
      <c r="C11" s="2" t="e">
        <f>IF(raw!#REF!="","",raw!#REF!)</f>
        <v>#REF!</v>
      </c>
      <c r="D11" s="2" t="e">
        <f>IF(raw!#REF!="","",raw!#REF!)</f>
        <v>#REF!</v>
      </c>
      <c r="E11" s="2" t="e">
        <f>IF(raw!#REF!="","",raw!#REF!)</f>
        <v>#REF!</v>
      </c>
      <c r="F11" s="6" t="e">
        <f t="shared" si="0"/>
        <v>#REF!</v>
      </c>
      <c r="G11" s="6" t="e">
        <f t="shared" si="1"/>
        <v>#REF!</v>
      </c>
      <c r="H11" s="6" t="e">
        <f t="shared" si="2"/>
        <v>#REF!</v>
      </c>
    </row>
    <row r="12" spans="1:8" x14ac:dyDescent="0.4">
      <c r="A12" s="6" t="e">
        <f>IF(raw!#REF!="","",raw!#REF!)</f>
        <v>#REF!</v>
      </c>
      <c r="B12" s="10" t="e">
        <f>IF(raw!#REF!="","",raw!#REF!)</f>
        <v>#REF!</v>
      </c>
      <c r="C12" s="6" t="e">
        <f>IF(raw!#REF!="","",raw!#REF!)</f>
        <v>#REF!</v>
      </c>
      <c r="D12" s="6" t="e">
        <f>IF(raw!#REF!="","",raw!#REF!)</f>
        <v>#REF!</v>
      </c>
      <c r="E12" s="6" t="e">
        <f>IF(raw!#REF!="","",raw!#REF!)</f>
        <v>#REF!</v>
      </c>
      <c r="F12" s="6" t="e">
        <f t="shared" si="0"/>
        <v>#REF!</v>
      </c>
      <c r="G12" s="6" t="e">
        <f t="shared" si="1"/>
        <v>#REF!</v>
      </c>
      <c r="H12" s="6" t="e">
        <f t="shared" si="2"/>
        <v>#REF!</v>
      </c>
    </row>
    <row r="13" spans="1:8" x14ac:dyDescent="0.4">
      <c r="A13" s="6" t="e">
        <f>IF(raw!#REF!="","",raw!#REF!)</f>
        <v>#REF!</v>
      </c>
      <c r="B13" s="10" t="e">
        <f>IF(raw!#REF!="","",raw!#REF!)</f>
        <v>#REF!</v>
      </c>
      <c r="C13" s="6" t="e">
        <f>IF(raw!#REF!="","",raw!#REF!)</f>
        <v>#REF!</v>
      </c>
      <c r="D13" s="6" t="e">
        <f>IF(raw!#REF!="","",raw!#REF!)</f>
        <v>#REF!</v>
      </c>
      <c r="E13" s="6" t="e">
        <f>IF(raw!#REF!="","",raw!#REF!)</f>
        <v>#REF!</v>
      </c>
      <c r="F13" s="6" t="e">
        <f t="shared" si="0"/>
        <v>#REF!</v>
      </c>
      <c r="G13" s="6" t="e">
        <f t="shared" si="1"/>
        <v>#REF!</v>
      </c>
      <c r="H13" s="6" t="e">
        <f t="shared" si="2"/>
        <v>#REF!</v>
      </c>
    </row>
    <row r="14" spans="1:8" x14ac:dyDescent="0.4">
      <c r="A14" s="6" t="e">
        <f>IF(raw!#REF!="","",raw!#REF!)</f>
        <v>#REF!</v>
      </c>
      <c r="B14" s="10" t="e">
        <f>IF(raw!#REF!="","",raw!#REF!)</f>
        <v>#REF!</v>
      </c>
      <c r="C14" s="6" t="e">
        <f>IF(raw!#REF!="","",raw!#REF!)</f>
        <v>#REF!</v>
      </c>
      <c r="D14" s="6" t="e">
        <f>IF(raw!#REF!="","",raw!#REF!)</f>
        <v>#REF!</v>
      </c>
      <c r="E14" s="6" t="e">
        <f>IF(raw!#REF!="","",raw!#REF!)</f>
        <v>#REF!</v>
      </c>
      <c r="F14" s="6" t="e">
        <f t="shared" si="0"/>
        <v>#REF!</v>
      </c>
      <c r="G14" s="6" t="e">
        <f t="shared" si="1"/>
        <v>#REF!</v>
      </c>
      <c r="H14" s="6" t="e">
        <f t="shared" si="2"/>
        <v>#REF!</v>
      </c>
    </row>
    <row r="15" spans="1:8" x14ac:dyDescent="0.4">
      <c r="A15" s="6" t="e">
        <f>IF(raw!#REF!="","",raw!#REF!)</f>
        <v>#REF!</v>
      </c>
      <c r="B15" s="10" t="e">
        <f>IF(raw!#REF!="","",raw!#REF!)</f>
        <v>#REF!</v>
      </c>
      <c r="C15" s="6" t="e">
        <f>IF(raw!#REF!="","",raw!#REF!)</f>
        <v>#REF!</v>
      </c>
      <c r="D15" s="6" t="e">
        <f>IF(raw!#REF!="","",raw!#REF!)</f>
        <v>#REF!</v>
      </c>
      <c r="E15" s="6" t="e">
        <f>IF(raw!#REF!="","",raw!#REF!)</f>
        <v>#REF!</v>
      </c>
      <c r="F15" s="6" t="e">
        <f t="shared" si="0"/>
        <v>#REF!</v>
      </c>
      <c r="G15" s="6" t="e">
        <f t="shared" si="1"/>
        <v>#REF!</v>
      </c>
      <c r="H15" s="6" t="e">
        <f t="shared" si="2"/>
        <v>#REF!</v>
      </c>
    </row>
    <row r="16" spans="1:8" x14ac:dyDescent="0.4">
      <c r="A16" s="6" t="e">
        <f>IF(raw!#REF!="","",raw!#REF!)</f>
        <v>#REF!</v>
      </c>
      <c r="B16" s="10" t="e">
        <f>IF(raw!#REF!="","",raw!#REF!)</f>
        <v>#REF!</v>
      </c>
      <c r="C16" s="6" t="e">
        <f>IF(raw!#REF!="","",raw!#REF!)</f>
        <v>#REF!</v>
      </c>
      <c r="D16" s="6" t="e">
        <f>IF(raw!#REF!="","",raw!#REF!)</f>
        <v>#REF!</v>
      </c>
      <c r="E16" s="6" t="e">
        <f>IF(raw!#REF!="","",raw!#REF!)</f>
        <v>#REF!</v>
      </c>
      <c r="F16" s="6" t="e">
        <f t="shared" si="0"/>
        <v>#REF!</v>
      </c>
      <c r="G16" s="6" t="e">
        <f t="shared" si="1"/>
        <v>#REF!</v>
      </c>
      <c r="H16" s="6" t="e">
        <f t="shared" si="2"/>
        <v>#REF!</v>
      </c>
    </row>
    <row r="17" spans="1:8" x14ac:dyDescent="0.4">
      <c r="A17" s="6" t="e">
        <f>IF(raw!#REF!="","",raw!#REF!)</f>
        <v>#REF!</v>
      </c>
      <c r="B17" s="10" t="e">
        <f>IF(raw!#REF!="","",raw!#REF!)</f>
        <v>#REF!</v>
      </c>
      <c r="C17" s="6" t="e">
        <f>IF(raw!#REF!="","",raw!#REF!)</f>
        <v>#REF!</v>
      </c>
      <c r="D17" s="6" t="e">
        <f>IF(raw!#REF!="","",raw!#REF!)</f>
        <v>#REF!</v>
      </c>
      <c r="E17" s="6" t="e">
        <f>IF(raw!#REF!="","",raw!#REF!)</f>
        <v>#REF!</v>
      </c>
      <c r="F17" s="6" t="e">
        <f t="shared" si="0"/>
        <v>#REF!</v>
      </c>
      <c r="G17" s="6" t="e">
        <f t="shared" si="1"/>
        <v>#REF!</v>
      </c>
      <c r="H17" s="6" t="e">
        <f t="shared" si="2"/>
        <v>#REF!</v>
      </c>
    </row>
    <row r="18" spans="1:8" x14ac:dyDescent="0.4">
      <c r="A18" s="6" t="e">
        <f>IF(raw!#REF!="","",raw!#REF!)</f>
        <v>#REF!</v>
      </c>
      <c r="B18" s="10" t="e">
        <f>IF(raw!#REF!="","",raw!#REF!)</f>
        <v>#REF!</v>
      </c>
      <c r="C18" s="6" t="e">
        <f>IF(raw!#REF!="","",raw!#REF!)</f>
        <v>#REF!</v>
      </c>
      <c r="D18" s="6" t="e">
        <f>IF(raw!#REF!="","",raw!#REF!)</f>
        <v>#REF!</v>
      </c>
      <c r="E18" s="6" t="e">
        <f>IF(raw!#REF!="","",raw!#REF!)</f>
        <v>#REF!</v>
      </c>
      <c r="F18" s="6" t="e">
        <f t="shared" si="0"/>
        <v>#REF!</v>
      </c>
      <c r="G18" s="6" t="e">
        <f t="shared" si="1"/>
        <v>#REF!</v>
      </c>
      <c r="H18" s="6" t="e">
        <f t="shared" si="2"/>
        <v>#REF!</v>
      </c>
    </row>
    <row r="19" spans="1:8" x14ac:dyDescent="0.4">
      <c r="A19" s="6" t="e">
        <f>IF(raw!#REF!="","",raw!#REF!)</f>
        <v>#REF!</v>
      </c>
      <c r="B19" s="10" t="e">
        <f>IF(raw!#REF!="","",raw!#REF!)</f>
        <v>#REF!</v>
      </c>
      <c r="C19" s="6" t="e">
        <f>IF(raw!#REF!="","",raw!#REF!)</f>
        <v>#REF!</v>
      </c>
      <c r="D19" s="6" t="e">
        <f>IF(raw!#REF!="","",raw!#REF!)</f>
        <v>#REF!</v>
      </c>
      <c r="E19" s="6" t="e">
        <f>IF(raw!#REF!="","",raw!#REF!)</f>
        <v>#REF!</v>
      </c>
      <c r="F19" s="6" t="e">
        <f t="shared" si="0"/>
        <v>#REF!</v>
      </c>
      <c r="G19" s="6" t="e">
        <f t="shared" si="1"/>
        <v>#REF!</v>
      </c>
      <c r="H19" s="6" t="e">
        <f t="shared" si="2"/>
        <v>#REF!</v>
      </c>
    </row>
    <row r="20" spans="1:8" x14ac:dyDescent="0.4">
      <c r="A20" s="6" t="e">
        <f>IF(raw!#REF!="","",raw!#REF!)</f>
        <v>#REF!</v>
      </c>
      <c r="B20" s="10" t="e">
        <f>IF(raw!#REF!="","",raw!#REF!)</f>
        <v>#REF!</v>
      </c>
      <c r="C20" s="6" t="e">
        <f>IF(raw!#REF!="","",raw!#REF!)</f>
        <v>#REF!</v>
      </c>
      <c r="D20" s="6" t="e">
        <f>IF(raw!#REF!="","",raw!#REF!)</f>
        <v>#REF!</v>
      </c>
      <c r="E20" s="6" t="e">
        <f>IF(raw!#REF!="","",raw!#REF!)</f>
        <v>#REF!</v>
      </c>
      <c r="F20" s="6" t="e">
        <f t="shared" si="0"/>
        <v>#REF!</v>
      </c>
      <c r="G20" s="6" t="e">
        <f t="shared" si="1"/>
        <v>#REF!</v>
      </c>
      <c r="H20" s="6" t="e">
        <f t="shared" si="2"/>
        <v>#REF!</v>
      </c>
    </row>
    <row r="21" spans="1:8" x14ac:dyDescent="0.4">
      <c r="A21" s="6" t="e">
        <f>IF(raw!#REF!="","",raw!#REF!)</f>
        <v>#REF!</v>
      </c>
      <c r="B21" s="10" t="e">
        <f>IF(raw!#REF!="","",raw!#REF!)</f>
        <v>#REF!</v>
      </c>
      <c r="C21" s="6" t="e">
        <f>IF(raw!#REF!="","",raw!#REF!)</f>
        <v>#REF!</v>
      </c>
      <c r="D21" s="6" t="e">
        <f>IF(raw!#REF!="","",raw!#REF!)</f>
        <v>#REF!</v>
      </c>
      <c r="E21" s="6" t="e">
        <f>IF(raw!#REF!="","",raw!#REF!)</f>
        <v>#REF!</v>
      </c>
      <c r="F21" s="6" t="e">
        <f t="shared" si="0"/>
        <v>#REF!</v>
      </c>
      <c r="G21" s="6" t="e">
        <f t="shared" si="1"/>
        <v>#REF!</v>
      </c>
      <c r="H21" s="6" t="e">
        <f t="shared" si="2"/>
        <v>#REF!</v>
      </c>
    </row>
    <row r="22" spans="1:8" x14ac:dyDescent="0.4">
      <c r="A22" s="6" t="e">
        <f>IF(raw!#REF!="","",raw!#REF!)</f>
        <v>#REF!</v>
      </c>
      <c r="B22" s="10" t="e">
        <f>IF(raw!#REF!="","",raw!#REF!)</f>
        <v>#REF!</v>
      </c>
      <c r="C22" s="6" t="e">
        <f>IF(raw!#REF!="","",raw!#REF!)</f>
        <v>#REF!</v>
      </c>
      <c r="D22" s="6" t="e">
        <f>IF(raw!#REF!="","",raw!#REF!)</f>
        <v>#REF!</v>
      </c>
      <c r="E22" s="6" t="e">
        <f>IF(raw!#REF!="","",raw!#REF!)</f>
        <v>#REF!</v>
      </c>
      <c r="F22" s="6" t="e">
        <f t="shared" si="0"/>
        <v>#REF!</v>
      </c>
      <c r="G22" s="6" t="e">
        <f t="shared" si="1"/>
        <v>#REF!</v>
      </c>
      <c r="H22" s="6" t="e">
        <f t="shared" si="2"/>
        <v>#REF!</v>
      </c>
    </row>
    <row r="23" spans="1:8" x14ac:dyDescent="0.4">
      <c r="A23" s="6" t="e">
        <f>IF(raw!#REF!="","",raw!#REF!)</f>
        <v>#REF!</v>
      </c>
      <c r="B23" s="10" t="e">
        <f>IF(raw!#REF!="","",raw!#REF!)</f>
        <v>#REF!</v>
      </c>
      <c r="C23" s="6" t="e">
        <f>IF(raw!#REF!="","",raw!#REF!)</f>
        <v>#REF!</v>
      </c>
      <c r="D23" s="6" t="e">
        <f>IF(raw!#REF!="","",raw!#REF!)</f>
        <v>#REF!</v>
      </c>
      <c r="E23" s="6" t="e">
        <f>IF(raw!#REF!="","",raw!#REF!)</f>
        <v>#REF!</v>
      </c>
      <c r="F23" s="6" t="e">
        <f t="shared" si="0"/>
        <v>#REF!</v>
      </c>
      <c r="G23" s="6" t="e">
        <f t="shared" si="1"/>
        <v>#REF!</v>
      </c>
      <c r="H23" s="6" t="e">
        <f t="shared" si="2"/>
        <v>#REF!</v>
      </c>
    </row>
    <row r="24" spans="1:8" x14ac:dyDescent="0.4">
      <c r="A24" s="6" t="e">
        <f>IF(raw!#REF!="","",raw!#REF!)</f>
        <v>#REF!</v>
      </c>
      <c r="B24" s="10" t="e">
        <f>IF(raw!#REF!="","",raw!#REF!)</f>
        <v>#REF!</v>
      </c>
      <c r="C24" s="6" t="e">
        <f>IF(raw!#REF!="","",raw!#REF!)</f>
        <v>#REF!</v>
      </c>
      <c r="D24" s="6" t="e">
        <f>IF(raw!#REF!="","",raw!#REF!)</f>
        <v>#REF!</v>
      </c>
      <c r="E24" s="6" t="e">
        <f>IF(raw!#REF!="","",raw!#REF!)</f>
        <v>#REF!</v>
      </c>
      <c r="F24" s="6" t="e">
        <f t="shared" si="0"/>
        <v>#REF!</v>
      </c>
      <c r="G24" s="6" t="e">
        <f t="shared" si="1"/>
        <v>#REF!</v>
      </c>
      <c r="H24" s="6" t="e">
        <f t="shared" si="2"/>
        <v>#REF!</v>
      </c>
    </row>
    <row r="25" spans="1:8" x14ac:dyDescent="0.4">
      <c r="A25" s="6" t="e">
        <f>IF(raw!#REF!="","",raw!#REF!)</f>
        <v>#REF!</v>
      </c>
      <c r="B25" s="10" t="e">
        <f>IF(raw!#REF!="","",raw!#REF!)</f>
        <v>#REF!</v>
      </c>
      <c r="C25" s="6" t="e">
        <f>IF(raw!#REF!="","",raw!#REF!)</f>
        <v>#REF!</v>
      </c>
      <c r="D25" s="6" t="e">
        <f>IF(raw!#REF!="","",raw!#REF!)</f>
        <v>#REF!</v>
      </c>
      <c r="E25" s="6" t="e">
        <f>IF(raw!#REF!="","",raw!#REF!)</f>
        <v>#REF!</v>
      </c>
      <c r="F25" s="6" t="e">
        <f t="shared" si="0"/>
        <v>#REF!</v>
      </c>
      <c r="G25" s="6" t="e">
        <f t="shared" si="1"/>
        <v>#REF!</v>
      </c>
      <c r="H25" s="6" t="e">
        <f t="shared" si="2"/>
        <v>#REF!</v>
      </c>
    </row>
    <row r="26" spans="1:8" x14ac:dyDescent="0.4">
      <c r="A26" s="6" t="e">
        <f>IF(raw!#REF!="","",raw!#REF!)</f>
        <v>#REF!</v>
      </c>
      <c r="B26" s="10" t="e">
        <f>IF(raw!#REF!="","",raw!#REF!)</f>
        <v>#REF!</v>
      </c>
      <c r="C26" s="6" t="e">
        <f>IF(raw!#REF!="","",raw!#REF!)</f>
        <v>#REF!</v>
      </c>
      <c r="D26" s="6" t="e">
        <f>IF(raw!#REF!="","",raw!#REF!)</f>
        <v>#REF!</v>
      </c>
      <c r="E26" s="6" t="e">
        <f>IF(raw!#REF!="","",raw!#REF!)</f>
        <v>#REF!</v>
      </c>
      <c r="F26" s="6" t="e">
        <f t="shared" si="0"/>
        <v>#REF!</v>
      </c>
      <c r="G26" s="6" t="e">
        <f t="shared" si="1"/>
        <v>#REF!</v>
      </c>
      <c r="H26" s="6" t="e">
        <f t="shared" si="2"/>
        <v>#REF!</v>
      </c>
    </row>
    <row r="27" spans="1:8" x14ac:dyDescent="0.4">
      <c r="A27" s="6" t="e">
        <f>IF(raw!#REF!="","",raw!#REF!)</f>
        <v>#REF!</v>
      </c>
      <c r="B27" s="10" t="e">
        <f>IF(raw!#REF!="","",raw!#REF!)</f>
        <v>#REF!</v>
      </c>
      <c r="C27" s="6" t="e">
        <f>IF(raw!#REF!="","",raw!#REF!)</f>
        <v>#REF!</v>
      </c>
      <c r="D27" s="6" t="e">
        <f>IF(raw!#REF!="","",raw!#REF!)</f>
        <v>#REF!</v>
      </c>
      <c r="E27" s="6" t="e">
        <f>IF(raw!#REF!="","",raw!#REF!)</f>
        <v>#REF!</v>
      </c>
      <c r="F27" s="6" t="e">
        <f t="shared" si="0"/>
        <v>#REF!</v>
      </c>
      <c r="G27" s="6" t="e">
        <f t="shared" si="1"/>
        <v>#REF!</v>
      </c>
      <c r="H27" s="6" t="e">
        <f t="shared" si="2"/>
        <v>#REF!</v>
      </c>
    </row>
    <row r="28" spans="1:8" x14ac:dyDescent="0.4">
      <c r="A28" s="6" t="e">
        <f>IF(raw!#REF!="","",raw!#REF!)</f>
        <v>#REF!</v>
      </c>
      <c r="B28" s="10" t="e">
        <f>IF(raw!#REF!="","",raw!#REF!)</f>
        <v>#REF!</v>
      </c>
      <c r="C28" s="6" t="e">
        <f>IF(raw!#REF!="","",raw!#REF!)</f>
        <v>#REF!</v>
      </c>
      <c r="D28" s="6" t="e">
        <f>IF(raw!#REF!="","",raw!#REF!)</f>
        <v>#REF!</v>
      </c>
      <c r="E28" s="6" t="e">
        <f>IF(raw!#REF!="","",raw!#REF!)</f>
        <v>#REF!</v>
      </c>
      <c r="F28" s="6" t="e">
        <f t="shared" si="0"/>
        <v>#REF!</v>
      </c>
      <c r="G28" s="6" t="e">
        <f t="shared" si="1"/>
        <v>#REF!</v>
      </c>
      <c r="H28" s="6" t="e">
        <f t="shared" si="2"/>
        <v>#REF!</v>
      </c>
    </row>
    <row r="29" spans="1:8" x14ac:dyDescent="0.4">
      <c r="A29" s="6" t="e">
        <f>IF(raw!#REF!="","",raw!#REF!)</f>
        <v>#REF!</v>
      </c>
      <c r="B29" s="10" t="e">
        <f>IF(raw!#REF!="","",raw!#REF!)</f>
        <v>#REF!</v>
      </c>
      <c r="C29" s="6" t="e">
        <f>IF(raw!#REF!="","",raw!#REF!)</f>
        <v>#REF!</v>
      </c>
      <c r="D29" s="6" t="e">
        <f>IF(raw!#REF!="","",raw!#REF!)</f>
        <v>#REF!</v>
      </c>
      <c r="E29" s="6" t="e">
        <f>IF(raw!#REF!="","",raw!#REF!)</f>
        <v>#REF!</v>
      </c>
      <c r="F29" s="6" t="e">
        <f t="shared" si="0"/>
        <v>#REF!</v>
      </c>
      <c r="G29" s="6" t="e">
        <f t="shared" si="1"/>
        <v>#REF!</v>
      </c>
      <c r="H29" s="6" t="e">
        <f t="shared" si="2"/>
        <v>#REF!</v>
      </c>
    </row>
    <row r="30" spans="1:8" x14ac:dyDescent="0.4">
      <c r="A30" s="6" t="e">
        <f>IF(raw!#REF!="","",raw!#REF!)</f>
        <v>#REF!</v>
      </c>
      <c r="B30" s="10" t="e">
        <f>IF(raw!#REF!="","",raw!#REF!)</f>
        <v>#REF!</v>
      </c>
      <c r="C30" s="6" t="e">
        <f>IF(raw!#REF!="","",raw!#REF!)</f>
        <v>#REF!</v>
      </c>
      <c r="D30" s="6" t="e">
        <f>IF(raw!#REF!="","",raw!#REF!)</f>
        <v>#REF!</v>
      </c>
      <c r="E30" s="6" t="e">
        <f>IF(raw!#REF!="","",raw!#REF!)</f>
        <v>#REF!</v>
      </c>
      <c r="F30" s="6" t="e">
        <f t="shared" si="0"/>
        <v>#REF!</v>
      </c>
      <c r="G30" s="6" t="e">
        <f t="shared" si="1"/>
        <v>#REF!</v>
      </c>
      <c r="H30" s="6" t="e">
        <f t="shared" si="2"/>
        <v>#REF!</v>
      </c>
    </row>
    <row r="31" spans="1:8" x14ac:dyDescent="0.4">
      <c r="A31" s="6" t="e">
        <f>IF(raw!#REF!="","",raw!#REF!)</f>
        <v>#REF!</v>
      </c>
      <c r="B31" s="10" t="e">
        <f>IF(raw!#REF!="","",raw!#REF!)</f>
        <v>#REF!</v>
      </c>
      <c r="C31" s="6" t="e">
        <f>IF(raw!#REF!="","",raw!#REF!)</f>
        <v>#REF!</v>
      </c>
      <c r="D31" s="6" t="e">
        <f>IF(raw!#REF!="","",raw!#REF!)</f>
        <v>#REF!</v>
      </c>
      <c r="E31" s="6" t="e">
        <f>IF(raw!#REF!="","",raw!#REF!)</f>
        <v>#REF!</v>
      </c>
      <c r="F31" s="6" t="e">
        <f t="shared" si="0"/>
        <v>#REF!</v>
      </c>
      <c r="G31" s="6" t="e">
        <f t="shared" si="1"/>
        <v>#REF!</v>
      </c>
      <c r="H31" s="6" t="e">
        <f t="shared" si="2"/>
        <v>#REF!</v>
      </c>
    </row>
    <row r="32" spans="1:8" x14ac:dyDescent="0.4">
      <c r="A32" s="6" t="e">
        <f>IF(raw!#REF!="","",raw!#REF!)</f>
        <v>#REF!</v>
      </c>
      <c r="B32" s="10" t="e">
        <f>IF(raw!#REF!="","",raw!#REF!)</f>
        <v>#REF!</v>
      </c>
      <c r="C32" s="6" t="e">
        <f>IF(raw!#REF!="","",raw!#REF!)</f>
        <v>#REF!</v>
      </c>
      <c r="D32" s="6" t="e">
        <f>IF(raw!#REF!="","",raw!#REF!)</f>
        <v>#REF!</v>
      </c>
      <c r="E32" s="6" t="e">
        <f>IF(raw!#REF!="","",raw!#REF!)</f>
        <v>#REF!</v>
      </c>
      <c r="F32" s="6" t="e">
        <f t="shared" si="0"/>
        <v>#REF!</v>
      </c>
      <c r="G32" s="6" t="e">
        <f t="shared" si="1"/>
        <v>#REF!</v>
      </c>
      <c r="H32" s="6" t="e">
        <f t="shared" si="2"/>
        <v>#REF!</v>
      </c>
    </row>
    <row r="33" spans="1:8" x14ac:dyDescent="0.4">
      <c r="A33" s="6" t="e">
        <f>IF(raw!#REF!="","",raw!#REF!)</f>
        <v>#REF!</v>
      </c>
      <c r="B33" s="10" t="e">
        <f>IF(raw!#REF!="","",raw!#REF!)</f>
        <v>#REF!</v>
      </c>
      <c r="C33" s="6" t="e">
        <f>IF(raw!#REF!="","",raw!#REF!)</f>
        <v>#REF!</v>
      </c>
      <c r="D33" s="6" t="e">
        <f>IF(raw!#REF!="","",raw!#REF!)</f>
        <v>#REF!</v>
      </c>
      <c r="E33" s="6" t="e">
        <f>IF(raw!#REF!="","",raw!#REF!)</f>
        <v>#REF!</v>
      </c>
      <c r="F33" s="6" t="e">
        <f t="shared" si="0"/>
        <v>#REF!</v>
      </c>
      <c r="G33" s="6" t="e">
        <f t="shared" si="1"/>
        <v>#REF!</v>
      </c>
      <c r="H33" s="6" t="e">
        <f t="shared" si="2"/>
        <v>#REF!</v>
      </c>
    </row>
    <row r="34" spans="1:8" x14ac:dyDescent="0.4">
      <c r="A34" s="6" t="str">
        <f>IF(raw!K9="","",raw!K9)</f>
        <v>ミニストップ</v>
      </c>
      <c r="B34" s="10">
        <f>IF(raw!M9="","",raw!M9)</f>
        <v>213528000000</v>
      </c>
      <c r="C34" s="6">
        <f>IF(raw!L9="","",raw!L9)</f>
        <v>2597000000</v>
      </c>
      <c r="D34" s="6">
        <f>IF(raw!T9="","",raw!T9)</f>
        <v>3653000000</v>
      </c>
      <c r="E34" s="6">
        <f>IF(raw!N9="","",raw!N9)</f>
        <v>968000000</v>
      </c>
      <c r="F34" s="6">
        <f t="shared" ref="F34:F65" si="3">IF(B34="", "", ROUND(C34/B34, 3))</f>
        <v>1.2E-2</v>
      </c>
      <c r="G34" s="6">
        <f t="shared" ref="G34:G65" si="4">IF(B34="", "", ROUND(D34/B34, 3))</f>
        <v>1.7000000000000001E-2</v>
      </c>
      <c r="H34" s="6">
        <f t="shared" ref="H34:H65" si="5">IF(B34="", "", ROUND(E34/B34, 3))</f>
        <v>5.0000000000000001E-3</v>
      </c>
    </row>
    <row r="35" spans="1:8" x14ac:dyDescent="0.4">
      <c r="A35" s="6" t="str">
        <f>IF(raw!K10="","",raw!K10)</f>
        <v/>
      </c>
      <c r="B35" s="10" t="str">
        <f>IF(raw!M10="","",raw!M10)</f>
        <v/>
      </c>
      <c r="C35" s="6" t="str">
        <f>IF(raw!L10="","",raw!L10)</f>
        <v/>
      </c>
      <c r="D35" s="6" t="str">
        <f>IF(raw!T10="","",raw!T10)</f>
        <v/>
      </c>
      <c r="E35" s="6" t="str">
        <f>IF(raw!N10="","",raw!N10)</f>
        <v/>
      </c>
      <c r="F35" s="6" t="str">
        <f t="shared" si="3"/>
        <v/>
      </c>
      <c r="G35" s="6" t="str">
        <f t="shared" si="4"/>
        <v/>
      </c>
      <c r="H35" s="6" t="str">
        <f t="shared" si="5"/>
        <v/>
      </c>
    </row>
    <row r="36" spans="1:8" x14ac:dyDescent="0.4">
      <c r="A36" s="6" t="str">
        <f>IF(raw!K11="","",raw!K11)</f>
        <v/>
      </c>
      <c r="B36" s="10" t="str">
        <f>IF(raw!M11="","",raw!M11)</f>
        <v/>
      </c>
      <c r="C36" s="6" t="str">
        <f>IF(raw!L11="","",raw!L11)</f>
        <v/>
      </c>
      <c r="D36" s="6" t="str">
        <f>IF(raw!T11="","",raw!T11)</f>
        <v/>
      </c>
      <c r="E36" s="6" t="str">
        <f>IF(raw!N11="","",raw!N11)</f>
        <v/>
      </c>
      <c r="F36" s="6" t="str">
        <f t="shared" si="3"/>
        <v/>
      </c>
      <c r="G36" s="6" t="str">
        <f t="shared" si="4"/>
        <v/>
      </c>
      <c r="H36" s="6" t="str">
        <f t="shared" si="5"/>
        <v/>
      </c>
    </row>
    <row r="37" spans="1:8" x14ac:dyDescent="0.4">
      <c r="A37" s="6" t="str">
        <f>IF(raw!K12="","",raw!K12)</f>
        <v/>
      </c>
      <c r="B37" s="10" t="str">
        <f>IF(raw!M12="","",raw!M12)</f>
        <v/>
      </c>
      <c r="C37" s="6" t="str">
        <f>IF(raw!L12="","",raw!L12)</f>
        <v/>
      </c>
      <c r="D37" s="6" t="str">
        <f>IF(raw!T12="","",raw!T12)</f>
        <v/>
      </c>
      <c r="E37" s="6" t="str">
        <f>IF(raw!N12="","",raw!N12)</f>
        <v/>
      </c>
      <c r="F37" s="6" t="str">
        <f t="shared" si="3"/>
        <v/>
      </c>
      <c r="G37" s="6" t="str">
        <f t="shared" si="4"/>
        <v/>
      </c>
      <c r="H37" s="6" t="str">
        <f t="shared" si="5"/>
        <v/>
      </c>
    </row>
    <row r="38" spans="1:8" x14ac:dyDescent="0.4">
      <c r="A38" s="6" t="str">
        <f>IF(raw!K13="","",raw!K13)</f>
        <v/>
      </c>
      <c r="B38" s="10" t="str">
        <f>IF(raw!M13="","",raw!M13)</f>
        <v/>
      </c>
      <c r="C38" s="6" t="str">
        <f>IF(raw!L13="","",raw!L13)</f>
        <v/>
      </c>
      <c r="D38" s="6" t="str">
        <f>IF(raw!T13="","",raw!T13)</f>
        <v/>
      </c>
      <c r="E38" s="6" t="str">
        <f>IF(raw!N13="","",raw!N13)</f>
        <v/>
      </c>
      <c r="F38" s="6" t="str">
        <f t="shared" si="3"/>
        <v/>
      </c>
      <c r="G38" s="6" t="str">
        <f t="shared" si="4"/>
        <v/>
      </c>
      <c r="H38" s="6" t="str">
        <f t="shared" si="5"/>
        <v/>
      </c>
    </row>
    <row r="39" spans="1:8" x14ac:dyDescent="0.4">
      <c r="A39" s="6" t="str">
        <f>IF(raw!K14="","",raw!K14)</f>
        <v/>
      </c>
      <c r="B39" s="10" t="str">
        <f>IF(raw!M14="","",raw!M14)</f>
        <v/>
      </c>
      <c r="C39" s="6" t="str">
        <f>IF(raw!L14="","",raw!L14)</f>
        <v/>
      </c>
      <c r="D39" s="6" t="str">
        <f>IF(raw!T14="","",raw!T14)</f>
        <v/>
      </c>
      <c r="E39" s="6" t="str">
        <f>IF(raw!N14="","",raw!N14)</f>
        <v/>
      </c>
      <c r="F39" s="6" t="str">
        <f t="shared" si="3"/>
        <v/>
      </c>
      <c r="G39" s="6" t="str">
        <f t="shared" si="4"/>
        <v/>
      </c>
      <c r="H39" s="6" t="str">
        <f t="shared" si="5"/>
        <v/>
      </c>
    </row>
    <row r="40" spans="1:8" x14ac:dyDescent="0.4">
      <c r="A40" s="6" t="str">
        <f>IF(raw!K15="","",raw!K15)</f>
        <v/>
      </c>
      <c r="B40" s="10" t="str">
        <f>IF(raw!M15="","",raw!M15)</f>
        <v/>
      </c>
      <c r="C40" s="6" t="str">
        <f>IF(raw!L15="","",raw!L15)</f>
        <v/>
      </c>
      <c r="D40" s="6" t="str">
        <f>IF(raw!T15="","",raw!T15)</f>
        <v/>
      </c>
      <c r="E40" s="6" t="str">
        <f>IF(raw!N15="","",raw!N15)</f>
        <v/>
      </c>
      <c r="F40" s="6" t="str">
        <f t="shared" si="3"/>
        <v/>
      </c>
      <c r="G40" s="6" t="str">
        <f t="shared" si="4"/>
        <v/>
      </c>
      <c r="H40" s="6" t="str">
        <f t="shared" si="5"/>
        <v/>
      </c>
    </row>
    <row r="41" spans="1:8" x14ac:dyDescent="0.4">
      <c r="A41" s="6" t="str">
        <f>IF(raw!K16="","",raw!K16)</f>
        <v/>
      </c>
      <c r="B41" s="10" t="str">
        <f>IF(raw!M16="","",raw!M16)</f>
        <v/>
      </c>
      <c r="C41" s="6" t="str">
        <f>IF(raw!L16="","",raw!L16)</f>
        <v/>
      </c>
      <c r="D41" s="6" t="str">
        <f>IF(raw!T16="","",raw!T16)</f>
        <v/>
      </c>
      <c r="E41" s="6" t="str">
        <f>IF(raw!N16="","",raw!N16)</f>
        <v/>
      </c>
      <c r="F41" s="6" t="str">
        <f t="shared" si="3"/>
        <v/>
      </c>
      <c r="G41" s="6" t="str">
        <f t="shared" si="4"/>
        <v/>
      </c>
      <c r="H41" s="6" t="str">
        <f t="shared" si="5"/>
        <v/>
      </c>
    </row>
    <row r="42" spans="1:8" x14ac:dyDescent="0.4">
      <c r="A42" s="6" t="str">
        <f>IF(raw!K17="","",raw!K17)</f>
        <v/>
      </c>
      <c r="B42" s="10" t="str">
        <f>IF(raw!M17="","",raw!M17)</f>
        <v/>
      </c>
      <c r="C42" s="6" t="str">
        <f>IF(raw!L17="","",raw!L17)</f>
        <v/>
      </c>
      <c r="D42" s="6" t="str">
        <f>IF(raw!T17="","",raw!T17)</f>
        <v/>
      </c>
      <c r="E42" s="6" t="str">
        <f>IF(raw!N17="","",raw!N17)</f>
        <v/>
      </c>
      <c r="F42" s="6" t="str">
        <f t="shared" si="3"/>
        <v/>
      </c>
      <c r="G42" s="6" t="str">
        <f t="shared" si="4"/>
        <v/>
      </c>
      <c r="H42" s="6" t="str">
        <f t="shared" si="5"/>
        <v/>
      </c>
    </row>
    <row r="43" spans="1:8" x14ac:dyDescent="0.4">
      <c r="A43" s="6" t="str">
        <f>IF(raw!K18="","",raw!K18)</f>
        <v/>
      </c>
      <c r="B43" s="10" t="str">
        <f>IF(raw!M18="","",raw!M18)</f>
        <v/>
      </c>
      <c r="C43" s="6" t="str">
        <f>IF(raw!L18="","",raw!L18)</f>
        <v/>
      </c>
      <c r="D43" s="6" t="str">
        <f>IF(raw!T18="","",raw!T18)</f>
        <v/>
      </c>
      <c r="E43" s="6" t="str">
        <f>IF(raw!N18="","",raw!N18)</f>
        <v/>
      </c>
      <c r="F43" s="6" t="str">
        <f t="shared" si="3"/>
        <v/>
      </c>
      <c r="G43" s="6" t="str">
        <f t="shared" si="4"/>
        <v/>
      </c>
      <c r="H43" s="6" t="str">
        <f t="shared" si="5"/>
        <v/>
      </c>
    </row>
    <row r="44" spans="1:8" x14ac:dyDescent="0.4">
      <c r="A44" s="6" t="str">
        <f>IF(raw!K19="","",raw!K19)</f>
        <v/>
      </c>
      <c r="B44" s="10" t="str">
        <f>IF(raw!M19="","",raw!M19)</f>
        <v/>
      </c>
      <c r="C44" s="6" t="str">
        <f>IF(raw!L19="","",raw!L19)</f>
        <v/>
      </c>
      <c r="D44" s="6" t="str">
        <f>IF(raw!T19="","",raw!T19)</f>
        <v/>
      </c>
      <c r="E44" s="6" t="str">
        <f>IF(raw!N19="","",raw!N19)</f>
        <v/>
      </c>
      <c r="F44" s="6" t="str">
        <f t="shared" si="3"/>
        <v/>
      </c>
      <c r="G44" s="6" t="str">
        <f t="shared" si="4"/>
        <v/>
      </c>
      <c r="H44" s="6" t="str">
        <f t="shared" si="5"/>
        <v/>
      </c>
    </row>
    <row r="45" spans="1:8" x14ac:dyDescent="0.4">
      <c r="A45" s="6" t="str">
        <f>IF(raw!K20="","",raw!K20)</f>
        <v/>
      </c>
      <c r="B45" s="10" t="str">
        <f>IF(raw!M20="","",raw!M20)</f>
        <v/>
      </c>
      <c r="C45" s="6" t="str">
        <f>IF(raw!L20="","",raw!L20)</f>
        <v/>
      </c>
      <c r="D45" s="6" t="str">
        <f>IF(raw!T20="","",raw!T20)</f>
        <v/>
      </c>
      <c r="E45" s="6" t="str">
        <f>IF(raw!N20="","",raw!N20)</f>
        <v/>
      </c>
      <c r="F45" s="6" t="str">
        <f t="shared" si="3"/>
        <v/>
      </c>
      <c r="G45" s="6" t="str">
        <f t="shared" si="4"/>
        <v/>
      </c>
      <c r="H45" s="6" t="str">
        <f t="shared" si="5"/>
        <v/>
      </c>
    </row>
    <row r="46" spans="1:8" x14ac:dyDescent="0.4">
      <c r="A46" s="6" t="str">
        <f>IF(raw!K21="","",raw!K21)</f>
        <v/>
      </c>
      <c r="B46" s="10" t="str">
        <f>IF(raw!M21="","",raw!M21)</f>
        <v/>
      </c>
      <c r="C46" s="6" t="str">
        <f>IF(raw!L21="","",raw!L21)</f>
        <v/>
      </c>
      <c r="D46" s="6" t="str">
        <f>IF(raw!T21="","",raw!T21)</f>
        <v/>
      </c>
      <c r="E46" s="6" t="str">
        <f>IF(raw!N21="","",raw!N21)</f>
        <v/>
      </c>
      <c r="F46" s="6" t="str">
        <f t="shared" si="3"/>
        <v/>
      </c>
      <c r="G46" s="6" t="str">
        <f t="shared" si="4"/>
        <v/>
      </c>
      <c r="H46" s="6" t="str">
        <f t="shared" si="5"/>
        <v/>
      </c>
    </row>
    <row r="47" spans="1:8" x14ac:dyDescent="0.4">
      <c r="A47" s="6" t="str">
        <f>IF(raw!K22="","",raw!K22)</f>
        <v/>
      </c>
      <c r="B47" s="10" t="str">
        <f>IF(raw!M22="","",raw!M22)</f>
        <v/>
      </c>
      <c r="C47" s="6" t="str">
        <f>IF(raw!L22="","",raw!L22)</f>
        <v/>
      </c>
      <c r="D47" s="6" t="str">
        <f>IF(raw!T22="","",raw!T22)</f>
        <v/>
      </c>
      <c r="E47" s="6" t="str">
        <f>IF(raw!N22="","",raw!N22)</f>
        <v/>
      </c>
      <c r="F47" s="6" t="str">
        <f t="shared" si="3"/>
        <v/>
      </c>
      <c r="G47" s="6" t="str">
        <f t="shared" si="4"/>
        <v/>
      </c>
      <c r="H47" s="6" t="str">
        <f t="shared" si="5"/>
        <v/>
      </c>
    </row>
    <row r="48" spans="1:8" x14ac:dyDescent="0.4">
      <c r="A48" s="6" t="str">
        <f>IF(raw!K23="","",raw!K23)</f>
        <v/>
      </c>
      <c r="B48" s="10" t="str">
        <f>IF(raw!M23="","",raw!M23)</f>
        <v/>
      </c>
      <c r="C48" s="6" t="str">
        <f>IF(raw!L23="","",raw!L23)</f>
        <v/>
      </c>
      <c r="D48" s="6" t="str">
        <f>IF(raw!T23="","",raw!T23)</f>
        <v/>
      </c>
      <c r="E48" s="6" t="str">
        <f>IF(raw!N23="","",raw!N23)</f>
        <v/>
      </c>
      <c r="F48" s="6" t="str">
        <f t="shared" si="3"/>
        <v/>
      </c>
      <c r="G48" s="6" t="str">
        <f t="shared" si="4"/>
        <v/>
      </c>
      <c r="H48" s="6" t="str">
        <f t="shared" si="5"/>
        <v/>
      </c>
    </row>
    <row r="49" spans="1:8" x14ac:dyDescent="0.4">
      <c r="A49" s="6" t="str">
        <f>IF(raw!K24="","",raw!K24)</f>
        <v/>
      </c>
      <c r="B49" s="10" t="str">
        <f>IF(raw!M24="","",raw!M24)</f>
        <v/>
      </c>
      <c r="C49" s="6" t="str">
        <f>IF(raw!L24="","",raw!L24)</f>
        <v/>
      </c>
      <c r="D49" s="6" t="str">
        <f>IF(raw!T24="","",raw!T24)</f>
        <v/>
      </c>
      <c r="E49" s="6" t="str">
        <f>IF(raw!N24="","",raw!N24)</f>
        <v/>
      </c>
      <c r="F49" s="6" t="str">
        <f t="shared" si="3"/>
        <v/>
      </c>
      <c r="G49" s="6" t="str">
        <f t="shared" si="4"/>
        <v/>
      </c>
      <c r="H49" s="6" t="str">
        <f t="shared" si="5"/>
        <v/>
      </c>
    </row>
    <row r="50" spans="1:8" x14ac:dyDescent="0.4">
      <c r="A50" s="6" t="str">
        <f>IF(raw!K25="","",raw!K25)</f>
        <v/>
      </c>
      <c r="B50" s="10" t="str">
        <f>IF(raw!M25="","",raw!M25)</f>
        <v/>
      </c>
      <c r="C50" s="6" t="str">
        <f>IF(raw!L25="","",raw!L25)</f>
        <v/>
      </c>
      <c r="D50" s="6" t="str">
        <f>IF(raw!T25="","",raw!T25)</f>
        <v/>
      </c>
      <c r="E50" s="6" t="str">
        <f>IF(raw!N25="","",raw!N25)</f>
        <v/>
      </c>
      <c r="F50" s="6" t="str">
        <f t="shared" si="3"/>
        <v/>
      </c>
      <c r="G50" s="6" t="str">
        <f t="shared" si="4"/>
        <v/>
      </c>
      <c r="H50" s="6" t="str">
        <f t="shared" si="5"/>
        <v/>
      </c>
    </row>
    <row r="51" spans="1:8" x14ac:dyDescent="0.4">
      <c r="A51" s="6" t="str">
        <f>IF(raw!K26="","",raw!K26)</f>
        <v/>
      </c>
      <c r="B51" s="10" t="str">
        <f>IF(raw!M26="","",raw!M26)</f>
        <v/>
      </c>
      <c r="C51" s="6" t="str">
        <f>IF(raw!L26="","",raw!L26)</f>
        <v/>
      </c>
      <c r="D51" s="6" t="str">
        <f>IF(raw!T26="","",raw!T26)</f>
        <v/>
      </c>
      <c r="E51" s="6" t="str">
        <f>IF(raw!N26="","",raw!N26)</f>
        <v/>
      </c>
      <c r="F51" s="6" t="str">
        <f t="shared" si="3"/>
        <v/>
      </c>
      <c r="G51" s="6" t="str">
        <f t="shared" si="4"/>
        <v/>
      </c>
      <c r="H51" s="6" t="str">
        <f t="shared" si="5"/>
        <v/>
      </c>
    </row>
    <row r="52" spans="1:8" x14ac:dyDescent="0.4">
      <c r="A52" s="6" t="str">
        <f>IF(raw!K27="","",raw!K27)</f>
        <v/>
      </c>
      <c r="B52" s="10" t="str">
        <f>IF(raw!M27="","",raw!M27)</f>
        <v/>
      </c>
      <c r="C52" s="6" t="str">
        <f>IF(raw!L27="","",raw!L27)</f>
        <v/>
      </c>
      <c r="D52" s="6" t="str">
        <f>IF(raw!T27="","",raw!T27)</f>
        <v/>
      </c>
      <c r="E52" s="6" t="str">
        <f>IF(raw!N27="","",raw!N27)</f>
        <v/>
      </c>
      <c r="F52" s="6" t="str">
        <f t="shared" si="3"/>
        <v/>
      </c>
      <c r="G52" s="6" t="str">
        <f t="shared" si="4"/>
        <v/>
      </c>
      <c r="H52" s="6" t="str">
        <f t="shared" si="5"/>
        <v/>
      </c>
    </row>
    <row r="53" spans="1:8" x14ac:dyDescent="0.4">
      <c r="A53" s="6" t="str">
        <f>IF(raw!K28="","",raw!K28)</f>
        <v/>
      </c>
      <c r="B53" s="10" t="str">
        <f>IF(raw!M28="","",raw!M28)</f>
        <v/>
      </c>
      <c r="C53" s="6" t="str">
        <f>IF(raw!L28="","",raw!L28)</f>
        <v/>
      </c>
      <c r="D53" s="6" t="str">
        <f>IF(raw!T28="","",raw!T28)</f>
        <v/>
      </c>
      <c r="E53" s="6" t="str">
        <f>IF(raw!N28="","",raw!N28)</f>
        <v/>
      </c>
      <c r="F53" s="6" t="str">
        <f t="shared" si="3"/>
        <v/>
      </c>
      <c r="G53" s="6" t="str">
        <f t="shared" si="4"/>
        <v/>
      </c>
      <c r="H53" s="6" t="str">
        <f t="shared" si="5"/>
        <v/>
      </c>
    </row>
    <row r="54" spans="1:8" x14ac:dyDescent="0.4">
      <c r="A54" s="6" t="str">
        <f>IF(raw!K29="","",raw!K29)</f>
        <v/>
      </c>
      <c r="B54" s="10" t="str">
        <f>IF(raw!M29="","",raw!M29)</f>
        <v/>
      </c>
      <c r="C54" s="6" t="str">
        <f>IF(raw!L29="","",raw!L29)</f>
        <v/>
      </c>
      <c r="D54" s="6" t="str">
        <f>IF(raw!T29="","",raw!T29)</f>
        <v/>
      </c>
      <c r="E54" s="6" t="str">
        <f>IF(raw!N29="","",raw!N29)</f>
        <v/>
      </c>
      <c r="F54" s="6" t="str">
        <f t="shared" si="3"/>
        <v/>
      </c>
      <c r="G54" s="6" t="str">
        <f t="shared" si="4"/>
        <v/>
      </c>
      <c r="H54" s="6" t="str">
        <f t="shared" si="5"/>
        <v/>
      </c>
    </row>
    <row r="55" spans="1:8" x14ac:dyDescent="0.4">
      <c r="A55" s="6" t="str">
        <f>IF(raw!K30="","",raw!K30)</f>
        <v/>
      </c>
      <c r="B55" s="10" t="str">
        <f>IF(raw!M30="","",raw!M30)</f>
        <v/>
      </c>
      <c r="C55" s="6" t="str">
        <f>IF(raw!L30="","",raw!L30)</f>
        <v/>
      </c>
      <c r="D55" s="6" t="str">
        <f>IF(raw!T30="","",raw!T30)</f>
        <v/>
      </c>
      <c r="E55" s="6" t="str">
        <f>IF(raw!N30="","",raw!N30)</f>
        <v/>
      </c>
      <c r="F55" s="6" t="str">
        <f t="shared" si="3"/>
        <v/>
      </c>
      <c r="G55" s="6" t="str">
        <f t="shared" si="4"/>
        <v/>
      </c>
      <c r="H55" s="6" t="str">
        <f t="shared" si="5"/>
        <v/>
      </c>
    </row>
    <row r="56" spans="1:8" x14ac:dyDescent="0.4">
      <c r="A56" s="6" t="str">
        <f>IF(raw!K31="","",raw!K31)</f>
        <v/>
      </c>
      <c r="B56" s="10" t="str">
        <f>IF(raw!M31="","",raw!M31)</f>
        <v/>
      </c>
      <c r="C56" s="6" t="str">
        <f>IF(raw!L31="","",raw!L31)</f>
        <v/>
      </c>
      <c r="D56" s="6" t="str">
        <f>IF(raw!T31="","",raw!T31)</f>
        <v/>
      </c>
      <c r="E56" s="6" t="str">
        <f>IF(raw!N31="","",raw!N31)</f>
        <v/>
      </c>
      <c r="F56" s="6" t="str">
        <f t="shared" si="3"/>
        <v/>
      </c>
      <c r="G56" s="6" t="str">
        <f t="shared" si="4"/>
        <v/>
      </c>
      <c r="H56" s="6" t="str">
        <f t="shared" si="5"/>
        <v/>
      </c>
    </row>
    <row r="57" spans="1:8" x14ac:dyDescent="0.4">
      <c r="A57" s="6" t="str">
        <f>IF(raw!K32="","",raw!K32)</f>
        <v/>
      </c>
      <c r="B57" s="10" t="str">
        <f>IF(raw!M32="","",raw!M32)</f>
        <v/>
      </c>
      <c r="C57" s="6" t="str">
        <f>IF(raw!L32="","",raw!L32)</f>
        <v/>
      </c>
      <c r="D57" s="6" t="str">
        <f>IF(raw!T32="","",raw!T32)</f>
        <v/>
      </c>
      <c r="E57" s="6" t="str">
        <f>IF(raw!N32="","",raw!N32)</f>
        <v/>
      </c>
      <c r="F57" s="6" t="str">
        <f t="shared" si="3"/>
        <v/>
      </c>
      <c r="G57" s="6" t="str">
        <f t="shared" si="4"/>
        <v/>
      </c>
      <c r="H57" s="6" t="str">
        <f t="shared" si="5"/>
        <v/>
      </c>
    </row>
    <row r="58" spans="1:8" x14ac:dyDescent="0.4">
      <c r="A58" s="6" t="str">
        <f>IF(raw!K33="","",raw!K33)</f>
        <v/>
      </c>
      <c r="B58" s="10" t="str">
        <f>IF(raw!M33="","",raw!M33)</f>
        <v/>
      </c>
      <c r="C58" s="6" t="str">
        <f>IF(raw!L33="","",raw!L33)</f>
        <v/>
      </c>
      <c r="D58" s="6" t="str">
        <f>IF(raw!T33="","",raw!T33)</f>
        <v/>
      </c>
      <c r="E58" s="6" t="str">
        <f>IF(raw!N33="","",raw!N33)</f>
        <v/>
      </c>
      <c r="F58" s="6" t="str">
        <f t="shared" si="3"/>
        <v/>
      </c>
      <c r="G58" s="6" t="str">
        <f t="shared" si="4"/>
        <v/>
      </c>
      <c r="H58" s="6" t="str">
        <f t="shared" si="5"/>
        <v/>
      </c>
    </row>
    <row r="59" spans="1:8" x14ac:dyDescent="0.4">
      <c r="A59" s="6" t="str">
        <f>IF(raw!K34="","",raw!K34)</f>
        <v/>
      </c>
      <c r="B59" s="10" t="str">
        <f>IF(raw!M34="","",raw!M34)</f>
        <v/>
      </c>
      <c r="C59" s="6" t="str">
        <f>IF(raw!L34="","",raw!L34)</f>
        <v/>
      </c>
      <c r="D59" s="6" t="str">
        <f>IF(raw!T34="","",raw!T34)</f>
        <v/>
      </c>
      <c r="E59" s="6" t="str">
        <f>IF(raw!N34="","",raw!N34)</f>
        <v/>
      </c>
      <c r="F59" s="6" t="str">
        <f t="shared" si="3"/>
        <v/>
      </c>
      <c r="G59" s="6" t="str">
        <f t="shared" si="4"/>
        <v/>
      </c>
      <c r="H59" s="6" t="str">
        <f t="shared" si="5"/>
        <v/>
      </c>
    </row>
    <row r="60" spans="1:8" x14ac:dyDescent="0.4">
      <c r="A60" s="6" t="str">
        <f>IF(raw!K35="","",raw!K35)</f>
        <v/>
      </c>
      <c r="B60" s="10" t="str">
        <f>IF(raw!M35="","",raw!M35)</f>
        <v/>
      </c>
      <c r="C60" s="6" t="str">
        <f>IF(raw!L35="","",raw!L35)</f>
        <v/>
      </c>
      <c r="D60" s="6" t="str">
        <f>IF(raw!T35="","",raw!T35)</f>
        <v/>
      </c>
      <c r="E60" s="6" t="str">
        <f>IF(raw!N35="","",raw!N35)</f>
        <v/>
      </c>
      <c r="F60" s="6" t="str">
        <f t="shared" si="3"/>
        <v/>
      </c>
      <c r="G60" s="6" t="str">
        <f t="shared" si="4"/>
        <v/>
      </c>
      <c r="H60" s="6" t="str">
        <f t="shared" si="5"/>
        <v/>
      </c>
    </row>
    <row r="61" spans="1:8" x14ac:dyDescent="0.4">
      <c r="A61" s="6" t="str">
        <f>IF(raw!K36="","",raw!K36)</f>
        <v/>
      </c>
      <c r="B61" s="10" t="str">
        <f>IF(raw!M36="","",raw!M36)</f>
        <v/>
      </c>
      <c r="C61" s="6" t="str">
        <f>IF(raw!L36="","",raw!L36)</f>
        <v/>
      </c>
      <c r="D61" s="6" t="str">
        <f>IF(raw!T36="","",raw!T36)</f>
        <v/>
      </c>
      <c r="E61" s="6" t="str">
        <f>IF(raw!N36="","",raw!N36)</f>
        <v/>
      </c>
      <c r="F61" s="6" t="str">
        <f t="shared" si="3"/>
        <v/>
      </c>
      <c r="G61" s="6" t="str">
        <f t="shared" si="4"/>
        <v/>
      </c>
      <c r="H61" s="6" t="str">
        <f t="shared" si="5"/>
        <v/>
      </c>
    </row>
    <row r="62" spans="1:8" x14ac:dyDescent="0.4">
      <c r="A62" s="6" t="str">
        <f>IF(raw!K37="","",raw!K37)</f>
        <v/>
      </c>
      <c r="B62" s="10" t="str">
        <f>IF(raw!M37="","",raw!M37)</f>
        <v/>
      </c>
      <c r="C62" s="6" t="str">
        <f>IF(raw!L37="","",raw!L37)</f>
        <v/>
      </c>
      <c r="D62" s="6" t="str">
        <f>IF(raw!T37="","",raw!T37)</f>
        <v/>
      </c>
      <c r="E62" s="6" t="str">
        <f>IF(raw!N37="","",raw!N37)</f>
        <v/>
      </c>
      <c r="F62" s="6" t="str">
        <f t="shared" si="3"/>
        <v/>
      </c>
      <c r="G62" s="6" t="str">
        <f t="shared" si="4"/>
        <v/>
      </c>
      <c r="H62" s="6" t="str">
        <f t="shared" si="5"/>
        <v/>
      </c>
    </row>
    <row r="63" spans="1:8" x14ac:dyDescent="0.4">
      <c r="A63" s="6" t="str">
        <f>IF(raw!K38="","",raw!K38)</f>
        <v/>
      </c>
      <c r="B63" s="10" t="str">
        <f>IF(raw!M38="","",raw!M38)</f>
        <v/>
      </c>
      <c r="C63" s="6" t="str">
        <f>IF(raw!L38="","",raw!L38)</f>
        <v/>
      </c>
      <c r="D63" s="6" t="str">
        <f>IF(raw!T38="","",raw!T38)</f>
        <v/>
      </c>
      <c r="E63" s="6" t="str">
        <f>IF(raw!N38="","",raw!N38)</f>
        <v/>
      </c>
      <c r="F63" s="6" t="str">
        <f t="shared" si="3"/>
        <v/>
      </c>
      <c r="G63" s="6" t="str">
        <f t="shared" si="4"/>
        <v/>
      </c>
      <c r="H63" s="6" t="str">
        <f t="shared" si="5"/>
        <v/>
      </c>
    </row>
    <row r="64" spans="1:8" x14ac:dyDescent="0.4">
      <c r="A64" s="6" t="str">
        <f>IF(raw!K39="","",raw!K39)</f>
        <v/>
      </c>
      <c r="B64" s="10" t="str">
        <f>IF(raw!M39="","",raw!M39)</f>
        <v/>
      </c>
      <c r="C64" s="6" t="str">
        <f>IF(raw!L39="","",raw!L39)</f>
        <v/>
      </c>
      <c r="D64" s="6" t="str">
        <f>IF(raw!T39="","",raw!T39)</f>
        <v/>
      </c>
      <c r="E64" s="6" t="str">
        <f>IF(raw!N39="","",raw!N39)</f>
        <v/>
      </c>
      <c r="F64" s="6" t="str">
        <f t="shared" si="3"/>
        <v/>
      </c>
      <c r="G64" s="6" t="str">
        <f t="shared" si="4"/>
        <v/>
      </c>
      <c r="H64" s="6" t="str">
        <f t="shared" si="5"/>
        <v/>
      </c>
    </row>
    <row r="65" spans="1:8" x14ac:dyDescent="0.4">
      <c r="A65" s="6" t="str">
        <f>IF(raw!K40="","",raw!K40)</f>
        <v/>
      </c>
      <c r="B65" s="10" t="str">
        <f>IF(raw!M40="","",raw!M40)</f>
        <v/>
      </c>
      <c r="C65" s="6" t="str">
        <f>IF(raw!L40="","",raw!L40)</f>
        <v/>
      </c>
      <c r="D65" s="6" t="str">
        <f>IF(raw!T40="","",raw!T40)</f>
        <v/>
      </c>
      <c r="E65" s="6" t="str">
        <f>IF(raw!N40="","",raw!N40)</f>
        <v/>
      </c>
      <c r="F65" s="6" t="str">
        <f t="shared" si="3"/>
        <v/>
      </c>
      <c r="G65" s="6" t="str">
        <f t="shared" si="4"/>
        <v/>
      </c>
      <c r="H65" s="6" t="str">
        <f t="shared" si="5"/>
        <v/>
      </c>
    </row>
    <row r="66" spans="1:8" x14ac:dyDescent="0.4">
      <c r="A66" s="6" t="str">
        <f>IF(raw!K41="","",raw!K41)</f>
        <v/>
      </c>
      <c r="B66" s="10" t="str">
        <f>IF(raw!M41="","",raw!M41)</f>
        <v/>
      </c>
      <c r="C66" s="6" t="str">
        <f>IF(raw!L41="","",raw!L41)</f>
        <v/>
      </c>
      <c r="D66" s="6" t="str">
        <f>IF(raw!T41="","",raw!T41)</f>
        <v/>
      </c>
      <c r="E66" s="6" t="str">
        <f>IF(raw!N41="","",raw!N41)</f>
        <v/>
      </c>
      <c r="F66" s="6" t="str">
        <f t="shared" ref="F66:F97" si="6">IF(B66="", "", ROUND(C66/B66, 3))</f>
        <v/>
      </c>
      <c r="G66" s="6" t="str">
        <f t="shared" ref="G66:G97" si="7">IF(B66="", "", ROUND(D66/B66, 3))</f>
        <v/>
      </c>
      <c r="H66" s="6" t="str">
        <f t="shared" ref="H66:H97" si="8">IF(B66="", "", ROUND(E66/B66, 3))</f>
        <v/>
      </c>
    </row>
    <row r="67" spans="1:8" x14ac:dyDescent="0.4">
      <c r="A67" s="6" t="str">
        <f>IF(raw!K42="","",raw!K42)</f>
        <v/>
      </c>
      <c r="B67" s="10" t="str">
        <f>IF(raw!M42="","",raw!M42)</f>
        <v/>
      </c>
      <c r="C67" s="6" t="str">
        <f>IF(raw!L42="","",raw!L42)</f>
        <v/>
      </c>
      <c r="D67" s="6" t="str">
        <f>IF(raw!T42="","",raw!T42)</f>
        <v/>
      </c>
      <c r="E67" s="6" t="str">
        <f>IF(raw!N42="","",raw!N42)</f>
        <v/>
      </c>
      <c r="F67" s="6" t="str">
        <f t="shared" si="6"/>
        <v/>
      </c>
      <c r="G67" s="6" t="str">
        <f t="shared" si="7"/>
        <v/>
      </c>
      <c r="H67" s="6" t="str">
        <f t="shared" si="8"/>
        <v/>
      </c>
    </row>
    <row r="68" spans="1:8" x14ac:dyDescent="0.4">
      <c r="A68" s="6" t="str">
        <f>IF(raw!K43="","",raw!K43)</f>
        <v/>
      </c>
      <c r="B68" s="10" t="str">
        <f>IF(raw!M43="","",raw!M43)</f>
        <v/>
      </c>
      <c r="C68" s="6" t="str">
        <f>IF(raw!L43="","",raw!L43)</f>
        <v/>
      </c>
      <c r="D68" s="6" t="str">
        <f>IF(raw!T43="","",raw!T43)</f>
        <v/>
      </c>
      <c r="E68" s="6" t="str">
        <f>IF(raw!N43="","",raw!N43)</f>
        <v/>
      </c>
      <c r="F68" s="6" t="str">
        <f t="shared" si="6"/>
        <v/>
      </c>
      <c r="G68" s="6" t="str">
        <f t="shared" si="7"/>
        <v/>
      </c>
      <c r="H68" s="6" t="str">
        <f t="shared" si="8"/>
        <v/>
      </c>
    </row>
    <row r="69" spans="1:8" x14ac:dyDescent="0.4">
      <c r="A69" s="6" t="str">
        <f>IF(raw!K44="","",raw!K44)</f>
        <v/>
      </c>
      <c r="B69" s="10" t="str">
        <f>IF(raw!M44="","",raw!M44)</f>
        <v/>
      </c>
      <c r="C69" s="6" t="str">
        <f>IF(raw!L44="","",raw!L44)</f>
        <v/>
      </c>
      <c r="D69" s="6" t="str">
        <f>IF(raw!T44="","",raw!T44)</f>
        <v/>
      </c>
      <c r="E69" s="6" t="str">
        <f>IF(raw!N44="","",raw!N44)</f>
        <v/>
      </c>
      <c r="F69" s="6" t="str">
        <f t="shared" si="6"/>
        <v/>
      </c>
      <c r="G69" s="6" t="str">
        <f t="shared" si="7"/>
        <v/>
      </c>
      <c r="H69" s="6" t="str">
        <f t="shared" si="8"/>
        <v/>
      </c>
    </row>
    <row r="70" spans="1:8" x14ac:dyDescent="0.4">
      <c r="A70" s="6" t="str">
        <f>IF(raw!K45="","",raw!K45)</f>
        <v/>
      </c>
      <c r="B70" s="10" t="str">
        <f>IF(raw!M45="","",raw!M45)</f>
        <v/>
      </c>
      <c r="C70" s="6" t="str">
        <f>IF(raw!L45="","",raw!L45)</f>
        <v/>
      </c>
      <c r="D70" s="6" t="str">
        <f>IF(raw!T45="","",raw!T45)</f>
        <v/>
      </c>
      <c r="E70" s="6" t="str">
        <f>IF(raw!N45="","",raw!N45)</f>
        <v/>
      </c>
      <c r="F70" s="6" t="str">
        <f t="shared" si="6"/>
        <v/>
      </c>
      <c r="G70" s="6" t="str">
        <f t="shared" si="7"/>
        <v/>
      </c>
      <c r="H70" s="6" t="str">
        <f t="shared" si="8"/>
        <v/>
      </c>
    </row>
    <row r="71" spans="1:8" x14ac:dyDescent="0.4">
      <c r="A71" s="6" t="str">
        <f>IF(raw!K46="","",raw!K46)</f>
        <v/>
      </c>
      <c r="B71" s="10" t="str">
        <f>IF(raw!M46="","",raw!M46)</f>
        <v/>
      </c>
      <c r="C71" s="6" t="str">
        <f>IF(raw!L46="","",raw!L46)</f>
        <v/>
      </c>
      <c r="D71" s="6" t="str">
        <f>IF(raw!T46="","",raw!T46)</f>
        <v/>
      </c>
      <c r="E71" s="6" t="str">
        <f>IF(raw!N46="","",raw!N46)</f>
        <v/>
      </c>
      <c r="F71" s="6" t="str">
        <f t="shared" si="6"/>
        <v/>
      </c>
      <c r="G71" s="6" t="str">
        <f t="shared" si="7"/>
        <v/>
      </c>
      <c r="H71" s="6" t="str">
        <f t="shared" si="8"/>
        <v/>
      </c>
    </row>
    <row r="72" spans="1:8" x14ac:dyDescent="0.4">
      <c r="A72" s="6" t="str">
        <f>IF(raw!K47="","",raw!K47)</f>
        <v/>
      </c>
      <c r="B72" s="10" t="str">
        <f>IF(raw!M47="","",raw!M47)</f>
        <v/>
      </c>
      <c r="C72" s="6" t="str">
        <f>IF(raw!L47="","",raw!L47)</f>
        <v/>
      </c>
      <c r="D72" s="6" t="str">
        <f>IF(raw!T47="","",raw!T47)</f>
        <v/>
      </c>
      <c r="E72" s="6" t="str">
        <f>IF(raw!N47="","",raw!N47)</f>
        <v/>
      </c>
      <c r="F72" s="6" t="str">
        <f t="shared" si="6"/>
        <v/>
      </c>
      <c r="G72" s="6" t="str">
        <f t="shared" si="7"/>
        <v/>
      </c>
      <c r="H72" s="6" t="str">
        <f t="shared" si="8"/>
        <v/>
      </c>
    </row>
    <row r="73" spans="1:8" x14ac:dyDescent="0.4">
      <c r="A73" s="6" t="str">
        <f>IF(raw!K48="","",raw!K48)</f>
        <v/>
      </c>
      <c r="B73" s="10" t="str">
        <f>IF(raw!M48="","",raw!M48)</f>
        <v/>
      </c>
      <c r="C73" s="6" t="str">
        <f>IF(raw!L48="","",raw!L48)</f>
        <v/>
      </c>
      <c r="D73" s="6" t="str">
        <f>IF(raw!T48="","",raw!T48)</f>
        <v/>
      </c>
      <c r="E73" s="6" t="str">
        <f>IF(raw!N48="","",raw!N48)</f>
        <v/>
      </c>
      <c r="F73" s="6" t="str">
        <f t="shared" si="6"/>
        <v/>
      </c>
      <c r="G73" s="6" t="str">
        <f t="shared" si="7"/>
        <v/>
      </c>
      <c r="H73" s="6" t="str">
        <f t="shared" si="8"/>
        <v/>
      </c>
    </row>
    <row r="74" spans="1:8" x14ac:dyDescent="0.4">
      <c r="A74" s="6" t="str">
        <f>IF(raw!K49="","",raw!K49)</f>
        <v/>
      </c>
      <c r="B74" s="10" t="str">
        <f>IF(raw!M49="","",raw!M49)</f>
        <v/>
      </c>
      <c r="C74" s="6" t="str">
        <f>IF(raw!L49="","",raw!L49)</f>
        <v/>
      </c>
      <c r="D74" s="6" t="str">
        <f>IF(raw!T49="","",raw!T49)</f>
        <v/>
      </c>
      <c r="E74" s="6" t="str">
        <f>IF(raw!N49="","",raw!N49)</f>
        <v/>
      </c>
      <c r="F74" s="6" t="str">
        <f t="shared" si="6"/>
        <v/>
      </c>
      <c r="G74" s="6" t="str">
        <f t="shared" si="7"/>
        <v/>
      </c>
      <c r="H74" s="6" t="str">
        <f t="shared" si="8"/>
        <v/>
      </c>
    </row>
    <row r="75" spans="1:8" x14ac:dyDescent="0.4">
      <c r="A75" s="6" t="str">
        <f>IF(raw!K50="","",raw!K50)</f>
        <v/>
      </c>
      <c r="B75" s="10" t="str">
        <f>IF(raw!M50="","",raw!M50)</f>
        <v/>
      </c>
      <c r="C75" s="6" t="str">
        <f>IF(raw!L50="","",raw!L50)</f>
        <v/>
      </c>
      <c r="D75" s="6" t="str">
        <f>IF(raw!T50="","",raw!T50)</f>
        <v/>
      </c>
      <c r="E75" s="6" t="str">
        <f>IF(raw!N50="","",raw!N50)</f>
        <v/>
      </c>
      <c r="F75" s="6" t="str">
        <f t="shared" si="6"/>
        <v/>
      </c>
      <c r="G75" s="6" t="str">
        <f t="shared" si="7"/>
        <v/>
      </c>
      <c r="H75" s="6" t="str">
        <f t="shared" si="8"/>
        <v/>
      </c>
    </row>
    <row r="76" spans="1:8" x14ac:dyDescent="0.4">
      <c r="A76" s="6" t="str">
        <f>IF(raw!K51="","",raw!K51)</f>
        <v/>
      </c>
      <c r="B76" s="10" t="str">
        <f>IF(raw!M51="","",raw!M51)</f>
        <v/>
      </c>
      <c r="C76" s="6" t="str">
        <f>IF(raw!L51="","",raw!L51)</f>
        <v/>
      </c>
      <c r="D76" s="6" t="str">
        <f>IF(raw!T51="","",raw!T51)</f>
        <v/>
      </c>
      <c r="E76" s="6" t="str">
        <f>IF(raw!N51="","",raw!N51)</f>
        <v/>
      </c>
      <c r="F76" s="6" t="str">
        <f t="shared" si="6"/>
        <v/>
      </c>
      <c r="G76" s="6" t="str">
        <f t="shared" si="7"/>
        <v/>
      </c>
      <c r="H76" s="6" t="str">
        <f t="shared" si="8"/>
        <v/>
      </c>
    </row>
    <row r="77" spans="1:8" x14ac:dyDescent="0.4">
      <c r="A77" s="6" t="str">
        <f>IF(raw!K52="","",raw!K52)</f>
        <v/>
      </c>
      <c r="B77" s="10" t="str">
        <f>IF(raw!M52="","",raw!M52)</f>
        <v/>
      </c>
      <c r="C77" s="6" t="str">
        <f>IF(raw!L52="","",raw!L52)</f>
        <v/>
      </c>
      <c r="D77" s="6" t="str">
        <f>IF(raw!T52="","",raw!T52)</f>
        <v/>
      </c>
      <c r="E77" s="6" t="str">
        <f>IF(raw!N52="","",raw!N52)</f>
        <v/>
      </c>
      <c r="F77" s="6" t="str">
        <f t="shared" si="6"/>
        <v/>
      </c>
      <c r="G77" s="6" t="str">
        <f t="shared" si="7"/>
        <v/>
      </c>
      <c r="H77" s="6" t="str">
        <f t="shared" si="8"/>
        <v/>
      </c>
    </row>
    <row r="78" spans="1:8" x14ac:dyDescent="0.4">
      <c r="A78" s="6" t="str">
        <f>IF(raw!K53="","",raw!K53)</f>
        <v/>
      </c>
      <c r="B78" s="10" t="str">
        <f>IF(raw!M53="","",raw!M53)</f>
        <v/>
      </c>
      <c r="C78" s="6" t="str">
        <f>IF(raw!L53="","",raw!L53)</f>
        <v/>
      </c>
      <c r="D78" s="6" t="str">
        <f>IF(raw!T53="","",raw!T53)</f>
        <v/>
      </c>
      <c r="E78" s="6" t="str">
        <f>IF(raw!N53="","",raw!N53)</f>
        <v/>
      </c>
      <c r="F78" s="6" t="str">
        <f t="shared" si="6"/>
        <v/>
      </c>
      <c r="G78" s="6" t="str">
        <f t="shared" si="7"/>
        <v/>
      </c>
      <c r="H78" s="6" t="str">
        <f t="shared" si="8"/>
        <v/>
      </c>
    </row>
    <row r="79" spans="1:8" x14ac:dyDescent="0.4">
      <c r="A79" s="6" t="str">
        <f>IF(raw!K54="","",raw!K54)</f>
        <v/>
      </c>
      <c r="B79" s="10" t="str">
        <f>IF(raw!M54="","",raw!M54)</f>
        <v/>
      </c>
      <c r="C79" s="6" t="str">
        <f>IF(raw!L54="","",raw!L54)</f>
        <v/>
      </c>
      <c r="D79" s="6" t="str">
        <f>IF(raw!T54="","",raw!T54)</f>
        <v/>
      </c>
      <c r="E79" s="6" t="str">
        <f>IF(raw!N54="","",raw!N54)</f>
        <v/>
      </c>
      <c r="F79" s="6" t="str">
        <f t="shared" si="6"/>
        <v/>
      </c>
      <c r="G79" s="6" t="str">
        <f t="shared" si="7"/>
        <v/>
      </c>
      <c r="H79" s="6" t="str">
        <f t="shared" si="8"/>
        <v/>
      </c>
    </row>
    <row r="80" spans="1:8" x14ac:dyDescent="0.4">
      <c r="A80" s="6" t="str">
        <f>IF(raw!K55="","",raw!K55)</f>
        <v/>
      </c>
      <c r="B80" s="10" t="str">
        <f>IF(raw!M55="","",raw!M55)</f>
        <v/>
      </c>
      <c r="C80" s="6" t="str">
        <f>IF(raw!L55="","",raw!L55)</f>
        <v/>
      </c>
      <c r="D80" s="6" t="str">
        <f>IF(raw!T55="","",raw!T55)</f>
        <v/>
      </c>
      <c r="E80" s="6" t="str">
        <f>IF(raw!N55="","",raw!N55)</f>
        <v/>
      </c>
      <c r="F80" s="6" t="str">
        <f t="shared" si="6"/>
        <v/>
      </c>
      <c r="G80" s="6" t="str">
        <f t="shared" si="7"/>
        <v/>
      </c>
      <c r="H80" s="6" t="str">
        <f t="shared" si="8"/>
        <v/>
      </c>
    </row>
    <row r="81" spans="1:8" x14ac:dyDescent="0.4">
      <c r="A81" s="6" t="str">
        <f>IF(raw!K56="","",raw!K56)</f>
        <v/>
      </c>
      <c r="B81" s="10" t="str">
        <f>IF(raw!M56="","",raw!M56)</f>
        <v/>
      </c>
      <c r="C81" s="6" t="str">
        <f>IF(raw!L56="","",raw!L56)</f>
        <v/>
      </c>
      <c r="D81" s="6" t="str">
        <f>IF(raw!T56="","",raw!T56)</f>
        <v/>
      </c>
      <c r="E81" s="6" t="str">
        <f>IF(raw!N56="","",raw!N56)</f>
        <v/>
      </c>
      <c r="F81" s="6" t="str">
        <f t="shared" si="6"/>
        <v/>
      </c>
      <c r="G81" s="6" t="str">
        <f t="shared" si="7"/>
        <v/>
      </c>
      <c r="H81" s="6" t="str">
        <f t="shared" si="8"/>
        <v/>
      </c>
    </row>
    <row r="82" spans="1:8" x14ac:dyDescent="0.4">
      <c r="A82" s="6" t="str">
        <f>IF(raw!K57="","",raw!K57)</f>
        <v/>
      </c>
      <c r="B82" s="10" t="str">
        <f>IF(raw!M57="","",raw!M57)</f>
        <v/>
      </c>
      <c r="C82" s="6" t="str">
        <f>IF(raw!L57="","",raw!L57)</f>
        <v/>
      </c>
      <c r="D82" s="6" t="str">
        <f>IF(raw!T57="","",raw!T57)</f>
        <v/>
      </c>
      <c r="E82" s="6" t="str">
        <f>IF(raw!N57="","",raw!N57)</f>
        <v/>
      </c>
      <c r="F82" s="6" t="str">
        <f t="shared" si="6"/>
        <v/>
      </c>
      <c r="G82" s="6" t="str">
        <f t="shared" si="7"/>
        <v/>
      </c>
      <c r="H82" s="6" t="str">
        <f t="shared" si="8"/>
        <v/>
      </c>
    </row>
    <row r="83" spans="1:8" x14ac:dyDescent="0.4">
      <c r="A83" s="6" t="str">
        <f>IF(raw!K58="","",raw!K58)</f>
        <v/>
      </c>
      <c r="B83" s="10" t="str">
        <f>IF(raw!M58="","",raw!M58)</f>
        <v/>
      </c>
      <c r="C83" s="6" t="str">
        <f>IF(raw!L58="","",raw!L58)</f>
        <v/>
      </c>
      <c r="D83" s="6" t="str">
        <f>IF(raw!T58="","",raw!T58)</f>
        <v/>
      </c>
      <c r="E83" s="6" t="str">
        <f>IF(raw!N58="","",raw!N58)</f>
        <v/>
      </c>
      <c r="F83" s="6" t="str">
        <f t="shared" si="6"/>
        <v/>
      </c>
      <c r="G83" s="6" t="str">
        <f t="shared" si="7"/>
        <v/>
      </c>
      <c r="H83" s="6" t="str">
        <f t="shared" si="8"/>
        <v/>
      </c>
    </row>
    <row r="84" spans="1:8" x14ac:dyDescent="0.4">
      <c r="A84" s="6" t="str">
        <f>IF(raw!K59="","",raw!K59)</f>
        <v/>
      </c>
      <c r="B84" s="10" t="str">
        <f>IF(raw!M59="","",raw!M59)</f>
        <v/>
      </c>
      <c r="C84" s="6" t="str">
        <f>IF(raw!L59="","",raw!L59)</f>
        <v/>
      </c>
      <c r="D84" s="6" t="str">
        <f>IF(raw!T59="","",raw!T59)</f>
        <v/>
      </c>
      <c r="E84" s="6" t="str">
        <f>IF(raw!N59="","",raw!N59)</f>
        <v/>
      </c>
      <c r="F84" s="6" t="str">
        <f t="shared" si="6"/>
        <v/>
      </c>
      <c r="G84" s="6" t="str">
        <f t="shared" si="7"/>
        <v/>
      </c>
      <c r="H84" s="6" t="str">
        <f t="shared" si="8"/>
        <v/>
      </c>
    </row>
    <row r="85" spans="1:8" x14ac:dyDescent="0.4">
      <c r="A85" s="6" t="str">
        <f>IF(raw!K60="","",raw!K60)</f>
        <v/>
      </c>
      <c r="B85" s="10" t="str">
        <f>IF(raw!M60="","",raw!M60)</f>
        <v/>
      </c>
      <c r="C85" s="6" t="str">
        <f>IF(raw!L60="","",raw!L60)</f>
        <v/>
      </c>
      <c r="D85" s="6" t="str">
        <f>IF(raw!T60="","",raw!T60)</f>
        <v/>
      </c>
      <c r="E85" s="6" t="str">
        <f>IF(raw!N60="","",raw!N60)</f>
        <v/>
      </c>
      <c r="F85" s="6" t="str">
        <f t="shared" si="6"/>
        <v/>
      </c>
      <c r="G85" s="6" t="str">
        <f t="shared" si="7"/>
        <v/>
      </c>
      <c r="H85" s="6" t="str">
        <f t="shared" si="8"/>
        <v/>
      </c>
    </row>
    <row r="86" spans="1:8" x14ac:dyDescent="0.4">
      <c r="A86" s="6" t="str">
        <f>IF(raw!K61="","",raw!K61)</f>
        <v/>
      </c>
      <c r="B86" s="10" t="str">
        <f>IF(raw!M61="","",raw!M61)</f>
        <v/>
      </c>
      <c r="C86" s="6" t="str">
        <f>IF(raw!L61="","",raw!L61)</f>
        <v/>
      </c>
      <c r="D86" s="6" t="str">
        <f>IF(raw!T61="","",raw!T61)</f>
        <v/>
      </c>
      <c r="E86" s="6" t="str">
        <f>IF(raw!N61="","",raw!N61)</f>
        <v/>
      </c>
      <c r="F86" s="6" t="str">
        <f t="shared" si="6"/>
        <v/>
      </c>
      <c r="G86" s="6" t="str">
        <f t="shared" si="7"/>
        <v/>
      </c>
      <c r="H86" s="6" t="str">
        <f t="shared" si="8"/>
        <v/>
      </c>
    </row>
    <row r="87" spans="1:8" x14ac:dyDescent="0.4">
      <c r="A87" s="6" t="str">
        <f>IF(raw!K62="","",raw!K62)</f>
        <v/>
      </c>
      <c r="B87" s="10" t="str">
        <f>IF(raw!M62="","",raw!M62)</f>
        <v/>
      </c>
      <c r="C87" s="6" t="str">
        <f>IF(raw!L62="","",raw!L62)</f>
        <v/>
      </c>
      <c r="D87" s="6" t="str">
        <f>IF(raw!T62="","",raw!T62)</f>
        <v/>
      </c>
      <c r="E87" s="6" t="str">
        <f>IF(raw!N62="","",raw!N62)</f>
        <v/>
      </c>
      <c r="F87" s="6" t="str">
        <f t="shared" si="6"/>
        <v/>
      </c>
      <c r="G87" s="6" t="str">
        <f t="shared" si="7"/>
        <v/>
      </c>
      <c r="H87" s="6" t="str">
        <f t="shared" si="8"/>
        <v/>
      </c>
    </row>
    <row r="88" spans="1:8" x14ac:dyDescent="0.4">
      <c r="A88" s="6" t="str">
        <f>IF(raw!K63="","",raw!K63)</f>
        <v/>
      </c>
      <c r="B88" s="10" t="str">
        <f>IF(raw!M63="","",raw!M63)</f>
        <v/>
      </c>
      <c r="C88" s="6" t="str">
        <f>IF(raw!L63="","",raw!L63)</f>
        <v/>
      </c>
      <c r="D88" s="6" t="str">
        <f>IF(raw!T63="","",raw!T63)</f>
        <v/>
      </c>
      <c r="E88" s="6" t="str">
        <f>IF(raw!N63="","",raw!N63)</f>
        <v/>
      </c>
      <c r="F88" s="6" t="str">
        <f t="shared" si="6"/>
        <v/>
      </c>
      <c r="G88" s="6" t="str">
        <f t="shared" si="7"/>
        <v/>
      </c>
      <c r="H88" s="6" t="str">
        <f t="shared" si="8"/>
        <v/>
      </c>
    </row>
    <row r="89" spans="1:8" x14ac:dyDescent="0.4">
      <c r="A89" s="6" t="str">
        <f>IF(raw!K64="","",raw!K64)</f>
        <v/>
      </c>
      <c r="B89" s="10" t="str">
        <f>IF(raw!M64="","",raw!M64)</f>
        <v/>
      </c>
      <c r="C89" s="6" t="str">
        <f>IF(raw!L64="","",raw!L64)</f>
        <v/>
      </c>
      <c r="D89" s="6" t="str">
        <f>IF(raw!T64="","",raw!T64)</f>
        <v/>
      </c>
      <c r="E89" s="6" t="str">
        <f>IF(raw!N64="","",raw!N64)</f>
        <v/>
      </c>
      <c r="F89" s="6" t="str">
        <f t="shared" si="6"/>
        <v/>
      </c>
      <c r="G89" s="6" t="str">
        <f t="shared" si="7"/>
        <v/>
      </c>
      <c r="H89" s="6" t="str">
        <f t="shared" si="8"/>
        <v/>
      </c>
    </row>
    <row r="90" spans="1:8" x14ac:dyDescent="0.4">
      <c r="A90" s="6" t="str">
        <f>IF(raw!K65="","",raw!K65)</f>
        <v/>
      </c>
      <c r="B90" s="10" t="str">
        <f>IF(raw!M65="","",raw!M65)</f>
        <v/>
      </c>
      <c r="C90" s="6" t="str">
        <f>IF(raw!L65="","",raw!L65)</f>
        <v/>
      </c>
      <c r="D90" s="6" t="str">
        <f>IF(raw!T65="","",raw!T65)</f>
        <v/>
      </c>
      <c r="E90" s="6" t="str">
        <f>IF(raw!N65="","",raw!N65)</f>
        <v/>
      </c>
      <c r="F90" s="6" t="str">
        <f t="shared" si="6"/>
        <v/>
      </c>
      <c r="G90" s="6" t="str">
        <f t="shared" si="7"/>
        <v/>
      </c>
      <c r="H90" s="6" t="str">
        <f t="shared" si="8"/>
        <v/>
      </c>
    </row>
    <row r="91" spans="1:8" x14ac:dyDescent="0.4">
      <c r="A91" s="6" t="str">
        <f>IF(raw!K66="","",raw!K66)</f>
        <v/>
      </c>
      <c r="B91" s="10" t="str">
        <f>IF(raw!M66="","",raw!M66)</f>
        <v/>
      </c>
      <c r="C91" s="6" t="str">
        <f>IF(raw!L66="","",raw!L66)</f>
        <v/>
      </c>
      <c r="D91" s="6" t="str">
        <f>IF(raw!T66="","",raw!T66)</f>
        <v/>
      </c>
      <c r="E91" s="6" t="str">
        <f>IF(raw!N66="","",raw!N66)</f>
        <v/>
      </c>
      <c r="F91" s="6" t="str">
        <f t="shared" si="6"/>
        <v/>
      </c>
      <c r="G91" s="6" t="str">
        <f t="shared" si="7"/>
        <v/>
      </c>
      <c r="H91" s="6" t="str">
        <f t="shared" si="8"/>
        <v/>
      </c>
    </row>
    <row r="92" spans="1:8" x14ac:dyDescent="0.4">
      <c r="A92" s="6" t="str">
        <f>IF(raw!K67="","",raw!K67)</f>
        <v/>
      </c>
      <c r="B92" s="10" t="str">
        <f>IF(raw!M67="","",raw!M67)</f>
        <v/>
      </c>
      <c r="C92" s="6" t="str">
        <f>IF(raw!L67="","",raw!L67)</f>
        <v/>
      </c>
      <c r="D92" s="6" t="str">
        <f>IF(raw!T67="","",raw!T67)</f>
        <v/>
      </c>
      <c r="E92" s="6" t="str">
        <f>IF(raw!N67="","",raw!N67)</f>
        <v/>
      </c>
      <c r="F92" s="6" t="str">
        <f t="shared" si="6"/>
        <v/>
      </c>
      <c r="G92" s="6" t="str">
        <f t="shared" si="7"/>
        <v/>
      </c>
      <c r="H92" s="6" t="str">
        <f t="shared" si="8"/>
        <v/>
      </c>
    </row>
    <row r="93" spans="1:8" x14ac:dyDescent="0.4">
      <c r="A93" s="6" t="str">
        <f>IF(raw!K68="","",raw!K68)</f>
        <v/>
      </c>
      <c r="B93" s="10" t="str">
        <f>IF(raw!M68="","",raw!M68)</f>
        <v/>
      </c>
      <c r="C93" s="6" t="str">
        <f>IF(raw!L68="","",raw!L68)</f>
        <v/>
      </c>
      <c r="D93" s="6" t="str">
        <f>IF(raw!T68="","",raw!T68)</f>
        <v/>
      </c>
      <c r="E93" s="6" t="str">
        <f>IF(raw!N68="","",raw!N68)</f>
        <v/>
      </c>
      <c r="F93" s="6" t="str">
        <f t="shared" si="6"/>
        <v/>
      </c>
      <c r="G93" s="6" t="str">
        <f t="shared" si="7"/>
        <v/>
      </c>
      <c r="H93" s="6" t="str">
        <f t="shared" si="8"/>
        <v/>
      </c>
    </row>
    <row r="94" spans="1:8" x14ac:dyDescent="0.4">
      <c r="A94" s="6" t="str">
        <f>IF(raw!K69="","",raw!K69)</f>
        <v/>
      </c>
      <c r="B94" s="10" t="str">
        <f>IF(raw!M69="","",raw!M69)</f>
        <v/>
      </c>
      <c r="C94" s="6" t="str">
        <f>IF(raw!L69="","",raw!L69)</f>
        <v/>
      </c>
      <c r="D94" s="6" t="str">
        <f>IF(raw!T69="","",raw!T69)</f>
        <v/>
      </c>
      <c r="E94" s="6" t="str">
        <f>IF(raw!N69="","",raw!N69)</f>
        <v/>
      </c>
      <c r="F94" s="6" t="str">
        <f t="shared" si="6"/>
        <v/>
      </c>
      <c r="G94" s="6" t="str">
        <f t="shared" si="7"/>
        <v/>
      </c>
      <c r="H94" s="6" t="str">
        <f t="shared" si="8"/>
        <v/>
      </c>
    </row>
    <row r="95" spans="1:8" x14ac:dyDescent="0.4">
      <c r="A95" s="6" t="str">
        <f>IF(raw!K70="","",raw!K70)</f>
        <v/>
      </c>
      <c r="B95" s="10" t="str">
        <f>IF(raw!M70="","",raw!M70)</f>
        <v/>
      </c>
      <c r="C95" s="6" t="str">
        <f>IF(raw!L70="","",raw!L70)</f>
        <v/>
      </c>
      <c r="D95" s="6" t="str">
        <f>IF(raw!T70="","",raw!T70)</f>
        <v/>
      </c>
      <c r="E95" s="6" t="str">
        <f>IF(raw!N70="","",raw!N70)</f>
        <v/>
      </c>
      <c r="F95" s="6" t="str">
        <f t="shared" si="6"/>
        <v/>
      </c>
      <c r="G95" s="6" t="str">
        <f t="shared" si="7"/>
        <v/>
      </c>
      <c r="H95" s="6" t="str">
        <f t="shared" si="8"/>
        <v/>
      </c>
    </row>
    <row r="96" spans="1:8" x14ac:dyDescent="0.4">
      <c r="A96" s="6" t="str">
        <f>IF(raw!K71="","",raw!K71)</f>
        <v/>
      </c>
      <c r="B96" s="10" t="str">
        <f>IF(raw!M71="","",raw!M71)</f>
        <v/>
      </c>
      <c r="C96" s="6" t="str">
        <f>IF(raw!L71="","",raw!L71)</f>
        <v/>
      </c>
      <c r="D96" s="6" t="str">
        <f>IF(raw!T71="","",raw!T71)</f>
        <v/>
      </c>
      <c r="E96" s="6" t="str">
        <f>IF(raw!N71="","",raw!N71)</f>
        <v/>
      </c>
      <c r="F96" s="6" t="str">
        <f t="shared" si="6"/>
        <v/>
      </c>
      <c r="G96" s="6" t="str">
        <f t="shared" si="7"/>
        <v/>
      </c>
      <c r="H96" s="6" t="str">
        <f t="shared" si="8"/>
        <v/>
      </c>
    </row>
    <row r="97" spans="1:8" x14ac:dyDescent="0.4">
      <c r="A97" s="6" t="str">
        <f>IF(raw!K72="","",raw!K72)</f>
        <v/>
      </c>
      <c r="B97" s="10" t="str">
        <f>IF(raw!M72="","",raw!M72)</f>
        <v/>
      </c>
      <c r="C97" s="6" t="str">
        <f>IF(raw!L72="","",raw!L72)</f>
        <v/>
      </c>
      <c r="D97" s="6" t="str">
        <f>IF(raw!T72="","",raw!T72)</f>
        <v/>
      </c>
      <c r="E97" s="6" t="str">
        <f>IF(raw!N72="","",raw!N72)</f>
        <v/>
      </c>
      <c r="F97" s="6" t="str">
        <f t="shared" si="6"/>
        <v/>
      </c>
      <c r="G97" s="6" t="str">
        <f t="shared" si="7"/>
        <v/>
      </c>
      <c r="H97" s="6" t="str">
        <f t="shared" si="8"/>
        <v/>
      </c>
    </row>
    <row r="98" spans="1:8" x14ac:dyDescent="0.4">
      <c r="A98" s="6" t="str">
        <f>IF(raw!K73="","",raw!K73)</f>
        <v/>
      </c>
      <c r="B98" s="10" t="str">
        <f>IF(raw!M73="","",raw!M73)</f>
        <v/>
      </c>
      <c r="C98" s="6" t="str">
        <f>IF(raw!L73="","",raw!L73)</f>
        <v/>
      </c>
      <c r="D98" s="6" t="str">
        <f>IF(raw!T73="","",raw!T73)</f>
        <v/>
      </c>
      <c r="E98" s="6" t="str">
        <f>IF(raw!N73="","",raw!N73)</f>
        <v/>
      </c>
      <c r="F98" s="6" t="str">
        <f t="shared" ref="F98:F112" si="9">IF(B98="", "", ROUND(C98/B98, 3))</f>
        <v/>
      </c>
      <c r="G98" s="6" t="str">
        <f t="shared" ref="G98:G112" si="10">IF(B98="", "", ROUND(D98/B98, 3))</f>
        <v/>
      </c>
      <c r="H98" s="6" t="str">
        <f t="shared" ref="H98:H112" si="11">IF(B98="", "", ROUND(E98/B98, 3))</f>
        <v/>
      </c>
    </row>
    <row r="99" spans="1:8" x14ac:dyDescent="0.4">
      <c r="A99" s="6" t="str">
        <f>IF(raw!K74="","",raw!K74)</f>
        <v/>
      </c>
      <c r="B99" s="10" t="str">
        <f>IF(raw!M74="","",raw!M74)</f>
        <v/>
      </c>
      <c r="C99" s="6" t="str">
        <f>IF(raw!L74="","",raw!L74)</f>
        <v/>
      </c>
      <c r="D99" s="6" t="str">
        <f>IF(raw!T74="","",raw!T74)</f>
        <v/>
      </c>
      <c r="E99" s="6" t="str">
        <f>IF(raw!N74="","",raw!N74)</f>
        <v/>
      </c>
      <c r="F99" s="6" t="str">
        <f t="shared" si="9"/>
        <v/>
      </c>
      <c r="G99" s="6" t="str">
        <f t="shared" si="10"/>
        <v/>
      </c>
      <c r="H99" s="6" t="str">
        <f t="shared" si="11"/>
        <v/>
      </c>
    </row>
    <row r="100" spans="1:8" x14ac:dyDescent="0.4">
      <c r="A100" s="6" t="str">
        <f>IF(raw!K75="","",raw!K75)</f>
        <v/>
      </c>
      <c r="B100" s="10" t="str">
        <f>IF(raw!M75="","",raw!M75)</f>
        <v/>
      </c>
      <c r="C100" s="6" t="str">
        <f>IF(raw!L75="","",raw!L75)</f>
        <v/>
      </c>
      <c r="D100" s="6" t="str">
        <f>IF(raw!T75="","",raw!T75)</f>
        <v/>
      </c>
      <c r="E100" s="6" t="str">
        <f>IF(raw!N75="","",raw!N75)</f>
        <v/>
      </c>
      <c r="F100" s="6" t="str">
        <f t="shared" si="9"/>
        <v/>
      </c>
      <c r="G100" s="6" t="str">
        <f t="shared" si="10"/>
        <v/>
      </c>
      <c r="H100" s="6" t="str">
        <f t="shared" si="11"/>
        <v/>
      </c>
    </row>
    <row r="101" spans="1:8" x14ac:dyDescent="0.4">
      <c r="A101" s="6" t="str">
        <f>IF(raw!K76="","",raw!K76)</f>
        <v/>
      </c>
      <c r="B101" s="10" t="str">
        <f>IF(raw!M76="","",raw!M76)</f>
        <v/>
      </c>
      <c r="C101" s="6" t="str">
        <f>IF(raw!L76="","",raw!L76)</f>
        <v/>
      </c>
      <c r="D101" s="6" t="str">
        <f>IF(raw!T76="","",raw!T76)</f>
        <v/>
      </c>
      <c r="E101" s="6" t="str">
        <f>IF(raw!N76="","",raw!N76)</f>
        <v/>
      </c>
      <c r="F101" s="6" t="str">
        <f t="shared" si="9"/>
        <v/>
      </c>
      <c r="G101" s="6" t="str">
        <f t="shared" si="10"/>
        <v/>
      </c>
      <c r="H101" s="6" t="str">
        <f t="shared" si="11"/>
        <v/>
      </c>
    </row>
    <row r="102" spans="1:8" x14ac:dyDescent="0.4">
      <c r="A102" s="6" t="str">
        <f>IF(raw!K77="","",raw!K77)</f>
        <v/>
      </c>
      <c r="B102" s="10" t="str">
        <f>IF(raw!M77="","",raw!M77)</f>
        <v/>
      </c>
      <c r="C102" s="6" t="str">
        <f>IF(raw!L77="","",raw!L77)</f>
        <v/>
      </c>
      <c r="D102" s="6" t="str">
        <f>IF(raw!T77="","",raw!T77)</f>
        <v/>
      </c>
      <c r="E102" s="6" t="str">
        <f>IF(raw!N77="","",raw!N77)</f>
        <v/>
      </c>
      <c r="F102" s="6" t="str">
        <f t="shared" si="9"/>
        <v/>
      </c>
      <c r="G102" s="6" t="str">
        <f t="shared" si="10"/>
        <v/>
      </c>
      <c r="H102" s="6" t="str">
        <f t="shared" si="11"/>
        <v/>
      </c>
    </row>
    <row r="103" spans="1:8" x14ac:dyDescent="0.4">
      <c r="A103" s="6" t="str">
        <f>IF(raw!K78="","",raw!K78)</f>
        <v/>
      </c>
      <c r="B103" s="10" t="str">
        <f>IF(raw!M78="","",raw!M78)</f>
        <v/>
      </c>
      <c r="C103" s="6" t="str">
        <f>IF(raw!L78="","",raw!L78)</f>
        <v/>
      </c>
      <c r="D103" s="6" t="str">
        <f>IF(raw!T78="","",raw!T78)</f>
        <v/>
      </c>
      <c r="E103" s="6" t="str">
        <f>IF(raw!N78="","",raw!N78)</f>
        <v/>
      </c>
      <c r="F103" s="6" t="str">
        <f t="shared" si="9"/>
        <v/>
      </c>
      <c r="G103" s="6" t="str">
        <f t="shared" si="10"/>
        <v/>
      </c>
      <c r="H103" s="6" t="str">
        <f t="shared" si="11"/>
        <v/>
      </c>
    </row>
    <row r="104" spans="1:8" x14ac:dyDescent="0.4">
      <c r="A104" s="6" t="str">
        <f>IF(raw!K79="","",raw!K79)</f>
        <v/>
      </c>
      <c r="B104" s="10" t="str">
        <f>IF(raw!M79="","",raw!M79)</f>
        <v/>
      </c>
      <c r="C104" s="6" t="str">
        <f>IF(raw!L79="","",raw!L79)</f>
        <v/>
      </c>
      <c r="D104" s="6" t="str">
        <f>IF(raw!T79="","",raw!T79)</f>
        <v/>
      </c>
      <c r="E104" s="6" t="str">
        <f>IF(raw!N79="","",raw!N79)</f>
        <v/>
      </c>
      <c r="F104" s="6" t="str">
        <f t="shared" si="9"/>
        <v/>
      </c>
      <c r="G104" s="6" t="str">
        <f t="shared" si="10"/>
        <v/>
      </c>
      <c r="H104" s="6" t="str">
        <f t="shared" si="11"/>
        <v/>
      </c>
    </row>
    <row r="105" spans="1:8" x14ac:dyDescent="0.4">
      <c r="A105" s="6" t="str">
        <f>IF(raw!K80="","",raw!K80)</f>
        <v/>
      </c>
      <c r="B105" s="10" t="str">
        <f>IF(raw!M80="","",raw!M80)</f>
        <v/>
      </c>
      <c r="C105" s="6" t="str">
        <f>IF(raw!L80="","",raw!L80)</f>
        <v/>
      </c>
      <c r="D105" s="6" t="str">
        <f>IF(raw!T80="","",raw!T80)</f>
        <v/>
      </c>
      <c r="E105" s="6" t="str">
        <f>IF(raw!N80="","",raw!N80)</f>
        <v/>
      </c>
      <c r="F105" s="6" t="str">
        <f t="shared" si="9"/>
        <v/>
      </c>
      <c r="G105" s="6" t="str">
        <f t="shared" si="10"/>
        <v/>
      </c>
      <c r="H105" s="6" t="str">
        <f t="shared" si="11"/>
        <v/>
      </c>
    </row>
    <row r="106" spans="1:8" x14ac:dyDescent="0.4">
      <c r="A106" s="6" t="str">
        <f>IF(raw!K81="","",raw!K81)</f>
        <v/>
      </c>
      <c r="B106" s="10" t="str">
        <f>IF(raw!M81="","",raw!M81)</f>
        <v/>
      </c>
      <c r="C106" s="6" t="str">
        <f>IF(raw!L81="","",raw!L81)</f>
        <v/>
      </c>
      <c r="D106" s="6" t="str">
        <f>IF(raw!T81="","",raw!T81)</f>
        <v/>
      </c>
      <c r="E106" s="6" t="str">
        <f>IF(raw!N81="","",raw!N81)</f>
        <v/>
      </c>
      <c r="F106" s="6" t="str">
        <f t="shared" si="9"/>
        <v/>
      </c>
      <c r="G106" s="6" t="str">
        <f t="shared" si="10"/>
        <v/>
      </c>
      <c r="H106" s="6" t="str">
        <f t="shared" si="11"/>
        <v/>
      </c>
    </row>
    <row r="107" spans="1:8" x14ac:dyDescent="0.4">
      <c r="A107" s="6" t="str">
        <f>IF(raw!K82="","",raw!K82)</f>
        <v/>
      </c>
      <c r="B107" s="10" t="str">
        <f>IF(raw!M82="","",raw!M82)</f>
        <v/>
      </c>
      <c r="C107" s="6" t="str">
        <f>IF(raw!L82="","",raw!L82)</f>
        <v/>
      </c>
      <c r="D107" s="6" t="str">
        <f>IF(raw!T82="","",raw!T82)</f>
        <v/>
      </c>
      <c r="E107" s="6" t="str">
        <f>IF(raw!N82="","",raw!N82)</f>
        <v/>
      </c>
      <c r="F107" s="6" t="str">
        <f t="shared" si="9"/>
        <v/>
      </c>
      <c r="G107" s="6" t="str">
        <f t="shared" si="10"/>
        <v/>
      </c>
      <c r="H107" s="6" t="str">
        <f t="shared" si="11"/>
        <v/>
      </c>
    </row>
    <row r="108" spans="1:8" x14ac:dyDescent="0.4">
      <c r="A108" s="6" t="str">
        <f>IF(raw!K83="","",raw!K83)</f>
        <v/>
      </c>
      <c r="B108" s="10" t="str">
        <f>IF(raw!M83="","",raw!M83)</f>
        <v/>
      </c>
      <c r="C108" s="6" t="str">
        <f>IF(raw!L83="","",raw!L83)</f>
        <v/>
      </c>
      <c r="D108" s="6" t="str">
        <f>IF(raw!T83="","",raw!T83)</f>
        <v/>
      </c>
      <c r="E108" s="6" t="str">
        <f>IF(raw!N83="","",raw!N83)</f>
        <v/>
      </c>
      <c r="F108" s="6" t="str">
        <f t="shared" si="9"/>
        <v/>
      </c>
      <c r="G108" s="6" t="str">
        <f t="shared" si="10"/>
        <v/>
      </c>
      <c r="H108" s="6" t="str">
        <f t="shared" si="11"/>
        <v/>
      </c>
    </row>
    <row r="109" spans="1:8" x14ac:dyDescent="0.4">
      <c r="A109" s="6" t="str">
        <f>IF(raw!K84="","",raw!K84)</f>
        <v/>
      </c>
      <c r="B109" s="10" t="str">
        <f>IF(raw!M84="","",raw!M84)</f>
        <v/>
      </c>
      <c r="C109" s="6" t="str">
        <f>IF(raw!L84="","",raw!L84)</f>
        <v/>
      </c>
      <c r="D109" s="6" t="str">
        <f>IF(raw!T84="","",raw!T84)</f>
        <v/>
      </c>
      <c r="E109" s="6" t="str">
        <f>IF(raw!N84="","",raw!N84)</f>
        <v/>
      </c>
      <c r="F109" s="6" t="str">
        <f t="shared" si="9"/>
        <v/>
      </c>
      <c r="G109" s="6" t="str">
        <f t="shared" si="10"/>
        <v/>
      </c>
      <c r="H109" s="6" t="str">
        <f t="shared" si="11"/>
        <v/>
      </c>
    </row>
    <row r="110" spans="1:8" x14ac:dyDescent="0.4">
      <c r="A110" s="6" t="str">
        <f>IF(raw!K85="","",raw!K85)</f>
        <v/>
      </c>
      <c r="B110" s="10" t="str">
        <f>IF(raw!M85="","",raw!M85)</f>
        <v/>
      </c>
      <c r="C110" s="6" t="str">
        <f>IF(raw!L85="","",raw!L85)</f>
        <v/>
      </c>
      <c r="D110" s="6" t="str">
        <f>IF(raw!T85="","",raw!T85)</f>
        <v/>
      </c>
      <c r="E110" s="6" t="str">
        <f>IF(raw!N85="","",raw!N85)</f>
        <v/>
      </c>
      <c r="F110" s="6" t="str">
        <f t="shared" si="9"/>
        <v/>
      </c>
      <c r="G110" s="6" t="str">
        <f t="shared" si="10"/>
        <v/>
      </c>
      <c r="H110" s="6" t="str">
        <f t="shared" si="11"/>
        <v/>
      </c>
    </row>
    <row r="111" spans="1:8" x14ac:dyDescent="0.4">
      <c r="A111" s="6" t="str">
        <f>IF(raw!K86="","",raw!K86)</f>
        <v/>
      </c>
      <c r="B111" s="10" t="str">
        <f>IF(raw!M86="","",raw!M86)</f>
        <v/>
      </c>
      <c r="C111" s="6" t="str">
        <f>IF(raw!L86="","",raw!L86)</f>
        <v/>
      </c>
      <c r="D111" s="6" t="str">
        <f>IF(raw!T86="","",raw!T86)</f>
        <v/>
      </c>
      <c r="E111" s="6" t="str">
        <f>IF(raw!N86="","",raw!N86)</f>
        <v/>
      </c>
      <c r="F111" s="6" t="str">
        <f t="shared" si="9"/>
        <v/>
      </c>
      <c r="G111" s="6" t="str">
        <f t="shared" si="10"/>
        <v/>
      </c>
      <c r="H111" s="6" t="str">
        <f t="shared" si="11"/>
        <v/>
      </c>
    </row>
    <row r="112" spans="1:8" x14ac:dyDescent="0.4">
      <c r="A112" s="6" t="str">
        <f>IF(raw!K87="","",raw!K87)</f>
        <v/>
      </c>
      <c r="B112" s="10" t="str">
        <f>IF(raw!M87="","",raw!M87)</f>
        <v/>
      </c>
      <c r="C112" s="6" t="str">
        <f>IF(raw!L87="","",raw!L87)</f>
        <v/>
      </c>
      <c r="D112" s="6" t="str">
        <f>IF(raw!T87="","",raw!T87)</f>
        <v/>
      </c>
      <c r="E112" s="6" t="str">
        <f>IF(raw!N87="","",raw!N87)</f>
        <v/>
      </c>
      <c r="F112" s="6" t="str">
        <f t="shared" si="9"/>
        <v/>
      </c>
      <c r="G112" s="6" t="str">
        <f t="shared" si="10"/>
        <v/>
      </c>
      <c r="H112" s="6" t="str">
        <f t="shared" si="11"/>
        <v/>
      </c>
    </row>
    <row r="113" spans="5:5" x14ac:dyDescent="0.4">
      <c r="E113" s="2" t="str">
        <f>IF(raw!N110="","",raw!N110)</f>
        <v/>
      </c>
    </row>
    <row r="114" spans="5:5" x14ac:dyDescent="0.4">
      <c r="E114" s="2" t="str">
        <f>IF(raw!N111="","",raw!N111)</f>
        <v/>
      </c>
    </row>
    <row r="115" spans="5:5" x14ac:dyDescent="0.4">
      <c r="E115" s="2" t="str">
        <f>IF(raw!N112="","",raw!N112)</f>
        <v/>
      </c>
    </row>
    <row r="116" spans="5:5" x14ac:dyDescent="0.4">
      <c r="E116" s="2" t="str">
        <f>IF(raw!N113="","",raw!N113)</f>
        <v/>
      </c>
    </row>
    <row r="117" spans="5:5" x14ac:dyDescent="0.4">
      <c r="E117" s="2" t="str">
        <f>IF(raw!N114="","",raw!N114)</f>
        <v/>
      </c>
    </row>
    <row r="118" spans="5:5" x14ac:dyDescent="0.4">
      <c r="E118" s="2" t="str">
        <f>IF(raw!N115="","",raw!N115)</f>
        <v/>
      </c>
    </row>
    <row r="119" spans="5:5" x14ac:dyDescent="0.4">
      <c r="E119" s="2" t="str">
        <f>IF(raw!N116="","",raw!N116)</f>
        <v/>
      </c>
    </row>
    <row r="120" spans="5:5" x14ac:dyDescent="0.4">
      <c r="E120" s="2" t="str">
        <f>IF(raw!N117="","",raw!N117)</f>
        <v/>
      </c>
    </row>
    <row r="121" spans="5:5" x14ac:dyDescent="0.4">
      <c r="E121" s="2" t="str">
        <f>IF(raw!N118="","",raw!N118)</f>
        <v/>
      </c>
    </row>
    <row r="122" spans="5:5" x14ac:dyDescent="0.4">
      <c r="E122" s="2" t="str">
        <f>IF(raw!N119="","",raw!N119)</f>
        <v/>
      </c>
    </row>
  </sheetData>
  <phoneticPr fontId="1"/>
  <conditionalFormatting sqref="F1:H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24"/>
  <sheetViews>
    <sheetView tabSelected="1" topLeftCell="A2" workbookViewId="0">
      <selection activeCell="B2" sqref="B1:B1048576"/>
    </sheetView>
  </sheetViews>
  <sheetFormatPr defaultRowHeight="18.75" x14ac:dyDescent="0.4"/>
  <cols>
    <col min="1" max="1" width="15.125" bestFit="1" customWidth="1"/>
    <col min="2" max="2" width="15.375" style="10" customWidth="1"/>
    <col min="3" max="4" width="13.375" hidden="1" customWidth="1"/>
    <col min="5" max="5" width="12.75" hidden="1" customWidth="1"/>
    <col min="6" max="6" width="13.375" hidden="1" customWidth="1"/>
    <col min="7" max="7" width="14.125" hidden="1" customWidth="1"/>
    <col min="8" max="8" width="16" style="8" customWidth="1"/>
    <col min="9" max="9" width="17.25" style="8" customWidth="1"/>
    <col min="10" max="10" width="19.5" style="8" bestFit="1" customWidth="1"/>
    <col min="11" max="11" width="20.125" style="8" customWidth="1"/>
  </cols>
  <sheetData>
    <row r="1" spans="1:11" s="7" customFormat="1" ht="18" x14ac:dyDescent="0.4">
      <c r="A1" s="7" t="str">
        <f>IF(raw!K1="","",raw!K1)</f>
        <v>名称</v>
      </c>
      <c r="B1" s="9" t="str">
        <f>IF(raw!M1="","",raw!M1)</f>
        <v>売上高</v>
      </c>
      <c r="C1" s="7" t="str">
        <f>IF(raw!T1="","",raw!T1)</f>
        <v>経常利益</v>
      </c>
      <c r="D1" s="7" t="str">
        <f>IF(raw!A1="","",raw!A1)</f>
        <v>2期前売上高</v>
      </c>
      <c r="E1" s="7" t="str">
        <f>IF(raw!B1="","",raw!B1)</f>
        <v>2期前経常利益</v>
      </c>
      <c r="F1" s="7" t="str">
        <f>IF(raw!C1="","",raw!C1)</f>
        <v>3期前売上高</v>
      </c>
      <c r="G1" s="7" t="str">
        <f>IF(raw!D1="","",raw!D1)</f>
        <v>3期前経常利益</v>
      </c>
      <c r="H1" s="5" t="s">
        <v>9</v>
      </c>
      <c r="I1" s="5" t="s">
        <v>10</v>
      </c>
      <c r="J1" s="5" t="s">
        <v>11</v>
      </c>
      <c r="K1" s="5" t="s">
        <v>12</v>
      </c>
    </row>
    <row r="2" spans="1:11" x14ac:dyDescent="0.4">
      <c r="A2" s="6" t="str">
        <f>IF(raw!K2="","",raw!K2)</f>
        <v>ローソン</v>
      </c>
      <c r="B2" s="10">
        <f>IF(raw!M2="","",raw!M2)</f>
        <v>583452000000</v>
      </c>
      <c r="C2" s="6">
        <f>IF(raw!T2="","",raw!T2)</f>
        <v>69622000000</v>
      </c>
      <c r="D2" s="6">
        <f>IF(raw!A2="","",raw!A2)</f>
        <v>497913000000</v>
      </c>
      <c r="E2" s="6">
        <f>IF(raw!B2="","",raw!B2)</f>
        <v>71714000000</v>
      </c>
      <c r="F2" s="6">
        <f>IF(raw!C2="","",raw!C2)</f>
        <v>485247000000</v>
      </c>
      <c r="G2" s="6">
        <f>IF(raw!D2="","",raw!D2)</f>
        <v>68880000000</v>
      </c>
      <c r="H2" s="8">
        <f t="shared" ref="H2:H33" si="0">IF(B2="","",ROUND(B2/D2, 3)-1)</f>
        <v>0.17199999999999993</v>
      </c>
      <c r="I2" s="8">
        <f t="shared" ref="I2:I33" si="1">IF(D2="","",ROUND(D2/F2, 3)-1)</f>
        <v>2.6000000000000023E-2</v>
      </c>
      <c r="J2" s="8">
        <f t="shared" ref="J2:J33" si="2">IF(C2="","",ROUND(C2/E2, 3)-1)</f>
        <v>-2.9000000000000026E-2</v>
      </c>
      <c r="K2" s="8">
        <f t="shared" ref="K2:K33" si="3">IF(E2="","",ROUND(E2/G2, 3)-1)</f>
        <v>4.0999999999999925E-2</v>
      </c>
    </row>
    <row r="3" spans="1:11" x14ac:dyDescent="0.4">
      <c r="A3" s="6" t="str">
        <f>IF(raw!K3="","",raw!K3)</f>
        <v>シー・ヴイ・エス・ベイエリア</v>
      </c>
      <c r="B3" s="10">
        <f>IF(raw!M3="","",raw!M3)</f>
        <v>29193000000</v>
      </c>
      <c r="C3" s="6">
        <f>IF(raw!T3="","",raw!T3)</f>
        <v>145000000</v>
      </c>
      <c r="D3" s="6">
        <f>IF(raw!A3="","",raw!A3)</f>
        <v>28726000000</v>
      </c>
      <c r="E3" s="6">
        <f>IF(raw!B3="","",raw!B3)</f>
        <v>278000000</v>
      </c>
      <c r="F3" s="6">
        <f>IF(raw!C3="","",raw!C3)</f>
        <v>30193000000</v>
      </c>
      <c r="G3" s="6">
        <f>IF(raw!D3="","",raw!D3)</f>
        <v>167000000</v>
      </c>
      <c r="H3" s="8">
        <f t="shared" si="0"/>
        <v>1.6000000000000014E-2</v>
      </c>
      <c r="I3" s="8">
        <f t="shared" si="1"/>
        <v>-4.9000000000000044E-2</v>
      </c>
      <c r="J3" s="8">
        <f t="shared" si="2"/>
        <v>-0.47799999999999998</v>
      </c>
      <c r="K3" s="8">
        <f t="shared" si="3"/>
        <v>0.66500000000000004</v>
      </c>
    </row>
    <row r="4" spans="1:11" x14ac:dyDescent="0.4">
      <c r="A4" s="6" t="str">
        <f>IF(raw!K4="","",raw!K4)</f>
        <v>サークルＫサンクス</v>
      </c>
      <c r="B4" s="10">
        <f>IF(raw!M4="","",raw!M4)</f>
        <v>187799000000</v>
      </c>
      <c r="C4" s="6">
        <f>IF(raw!T4="","",raw!T4)</f>
        <v>21338000000</v>
      </c>
      <c r="D4" s="6">
        <f>IF(raw!A4="","",raw!A4)</f>
        <v>192304000000</v>
      </c>
      <c r="E4" s="6">
        <f>IF(raw!B4="","",raw!B4)</f>
        <v>17477000000</v>
      </c>
      <c r="F4" s="6">
        <f>IF(raw!C4="","",raw!C4)</f>
        <v>194142000000</v>
      </c>
      <c r="G4" s="6">
        <f>IF(raw!D4="","",raw!D4)</f>
        <v>14607000000</v>
      </c>
      <c r="H4" s="8">
        <f t="shared" si="0"/>
        <v>-2.300000000000002E-2</v>
      </c>
      <c r="I4" s="8">
        <f t="shared" si="1"/>
        <v>-9.000000000000008E-3</v>
      </c>
      <c r="J4" s="8">
        <f t="shared" si="2"/>
        <v>0.22100000000000009</v>
      </c>
      <c r="K4" s="8">
        <f t="shared" si="3"/>
        <v>0.19599999999999995</v>
      </c>
    </row>
    <row r="5" spans="1:11" x14ac:dyDescent="0.4">
      <c r="A5" s="6" t="str">
        <f>IF(raw!K5="","",raw!K5)</f>
        <v>セブン＆アイ・ホールディングス</v>
      </c>
      <c r="B5" s="10">
        <f>IF(raw!M5="","",raw!M5)</f>
        <v>6045704000000</v>
      </c>
      <c r="C5" s="6">
        <f>IF(raw!T5="","",raw!T5)</f>
        <v>350165000000</v>
      </c>
      <c r="D5" s="6">
        <f>IF(raw!A5="","",raw!A5)</f>
        <v>6038948000000</v>
      </c>
      <c r="E5" s="6">
        <f>IF(raw!B5="","",raw!B5)</f>
        <v>341484000000</v>
      </c>
      <c r="F5" s="6">
        <f>IF(raw!C5="","",raw!C5)</f>
        <v>5631820000000</v>
      </c>
      <c r="G5" s="6">
        <f>IF(raw!D5="","",raw!D5)</f>
        <v>339083000000</v>
      </c>
      <c r="H5" s="8">
        <f t="shared" si="0"/>
        <v>9.9999999999988987E-4</v>
      </c>
      <c r="I5" s="8">
        <f t="shared" si="1"/>
        <v>7.2000000000000064E-2</v>
      </c>
      <c r="J5" s="8">
        <f t="shared" si="2"/>
        <v>2.4999999999999911E-2</v>
      </c>
      <c r="K5" s="8">
        <f t="shared" si="3"/>
        <v>6.9999999999998952E-3</v>
      </c>
    </row>
    <row r="6" spans="1:11" x14ac:dyDescent="0.4">
      <c r="A6" s="6" t="str">
        <f>IF(raw!K6="","",raw!K6)</f>
        <v>スリーエフ</v>
      </c>
      <c r="B6" s="10">
        <f>IF(raw!M6="","",raw!M6)</f>
        <v>19036000000</v>
      </c>
      <c r="C6" s="6">
        <f>IF(raw!T6="","",raw!T6)</f>
        <v>-862000000</v>
      </c>
      <c r="D6" s="6">
        <f>IF(raw!A6="","",raw!A6)</f>
        <v>20990000000</v>
      </c>
      <c r="E6" s="6">
        <f>IF(raw!B6="","",raw!B6)</f>
        <v>-305000000</v>
      </c>
      <c r="F6" s="6">
        <f>IF(raw!C6="","",raw!C6)</f>
        <v>22434000000</v>
      </c>
      <c r="G6" s="6">
        <f>IF(raw!D6="","",raw!D6)</f>
        <v>215000000</v>
      </c>
      <c r="H6" s="8">
        <f t="shared" si="0"/>
        <v>-9.2999999999999972E-2</v>
      </c>
      <c r="I6" s="8">
        <f t="shared" si="1"/>
        <v>-6.3999999999999946E-2</v>
      </c>
      <c r="J6" s="8">
        <f t="shared" si="2"/>
        <v>1.8260000000000001</v>
      </c>
      <c r="K6" s="8">
        <f t="shared" si="3"/>
        <v>-2.419</v>
      </c>
    </row>
    <row r="7" spans="1:11" x14ac:dyDescent="0.4">
      <c r="A7" s="6" t="str">
        <f>IF(raw!K7="","",raw!K7)</f>
        <v>ポプラ</v>
      </c>
      <c r="B7" s="10">
        <f>IF(raw!M7="","",raw!M7)</f>
        <v>38777000000</v>
      </c>
      <c r="C7" s="6">
        <f>IF(raw!T7="","",raw!T7)</f>
        <v>129000000</v>
      </c>
      <c r="D7" s="6">
        <f>IF(raw!A7="","",raw!A7)</f>
        <v>48764000000</v>
      </c>
      <c r="E7" s="6">
        <f>IF(raw!B7="","",raw!B7)</f>
        <v>-925000000</v>
      </c>
      <c r="F7" s="6">
        <f>IF(raw!C7="","",raw!C7)</f>
        <v>55487000000</v>
      </c>
      <c r="G7" s="6">
        <f>IF(raw!D7="","",raw!D7)</f>
        <v>-742000000</v>
      </c>
      <c r="H7" s="8">
        <f t="shared" si="0"/>
        <v>-0.20499999999999996</v>
      </c>
      <c r="I7" s="8">
        <f t="shared" si="1"/>
        <v>-0.121</v>
      </c>
      <c r="J7" s="8">
        <f t="shared" si="2"/>
        <v>-1.139</v>
      </c>
      <c r="K7" s="8">
        <f t="shared" si="3"/>
        <v>0.24700000000000011</v>
      </c>
    </row>
    <row r="8" spans="1:11" x14ac:dyDescent="0.4">
      <c r="A8" s="6" t="str">
        <f>IF(raw!K8="","",raw!K8)</f>
        <v>ファミリーマート</v>
      </c>
      <c r="B8" s="10">
        <f>IF(raw!M8="","",raw!M8)</f>
        <v>427676000000</v>
      </c>
      <c r="C8" s="6">
        <f>IF(raw!T8="","",raw!T8)</f>
        <v>51888000000</v>
      </c>
      <c r="D8" s="6">
        <f>IF(raw!A8="","",raw!A8)</f>
        <v>374430000000</v>
      </c>
      <c r="E8" s="6">
        <f>IF(raw!B8="","",raw!B8)</f>
        <v>42520000000</v>
      </c>
      <c r="F8" s="6">
        <f>IF(raw!C8="","",raw!C8)</f>
        <v>345603000000</v>
      </c>
      <c r="G8" s="6">
        <f>IF(raw!D8="","",raw!D8)</f>
        <v>47315000000</v>
      </c>
      <c r="H8" s="8">
        <f t="shared" si="0"/>
        <v>0.1419999999999999</v>
      </c>
      <c r="I8" s="8">
        <f t="shared" si="1"/>
        <v>8.2999999999999963E-2</v>
      </c>
      <c r="J8" s="8">
        <f t="shared" si="2"/>
        <v>0.21999999999999997</v>
      </c>
      <c r="K8" s="8">
        <f t="shared" si="3"/>
        <v>-0.10099999999999998</v>
      </c>
    </row>
    <row r="9" spans="1:11" x14ac:dyDescent="0.4">
      <c r="A9" s="6" t="e">
        <f>IF(raw!#REF!="","",raw!#REF!)</f>
        <v>#REF!</v>
      </c>
      <c r="B9" s="10" t="e">
        <f>IF(raw!#REF!="","",raw!#REF!)</f>
        <v>#REF!</v>
      </c>
      <c r="C9" s="6" t="e">
        <f>IF(raw!#REF!="","",raw!#REF!)</f>
        <v>#REF!</v>
      </c>
      <c r="D9" s="6" t="e">
        <f>IF(raw!#REF!="","",raw!#REF!)</f>
        <v>#REF!</v>
      </c>
      <c r="E9" s="6" t="e">
        <f>IF(raw!#REF!="","",raw!#REF!)</f>
        <v>#REF!</v>
      </c>
      <c r="F9" s="6" t="e">
        <f>IF(raw!#REF!="","",raw!#REF!)</f>
        <v>#REF!</v>
      </c>
      <c r="G9" s="6" t="e">
        <f>IF(raw!#REF!="","",raw!#REF!)</f>
        <v>#REF!</v>
      </c>
      <c r="H9" s="8" t="e">
        <f t="shared" si="0"/>
        <v>#REF!</v>
      </c>
      <c r="I9" s="8" t="e">
        <f t="shared" si="1"/>
        <v>#REF!</v>
      </c>
      <c r="J9" s="8" t="e">
        <f t="shared" si="2"/>
        <v>#REF!</v>
      </c>
      <c r="K9" s="8" t="e">
        <f t="shared" si="3"/>
        <v>#REF!</v>
      </c>
    </row>
    <row r="10" spans="1:11" x14ac:dyDescent="0.4">
      <c r="A10" s="6" t="e">
        <f>IF(raw!#REF!="","",raw!#REF!)</f>
        <v>#REF!</v>
      </c>
      <c r="B10" s="10" t="e">
        <f>IF(raw!#REF!="","",raw!#REF!)</f>
        <v>#REF!</v>
      </c>
      <c r="C10" s="6" t="e">
        <f>IF(raw!#REF!="","",raw!#REF!)</f>
        <v>#REF!</v>
      </c>
      <c r="D10" s="6" t="e">
        <f>IF(raw!#REF!="","",raw!#REF!)</f>
        <v>#REF!</v>
      </c>
      <c r="E10" s="6" t="e">
        <f>IF(raw!#REF!="","",raw!#REF!)</f>
        <v>#REF!</v>
      </c>
      <c r="F10" s="6" t="e">
        <f>IF(raw!#REF!="","",raw!#REF!)</f>
        <v>#REF!</v>
      </c>
      <c r="G10" s="6" t="e">
        <f>IF(raw!#REF!="","",raw!#REF!)</f>
        <v>#REF!</v>
      </c>
      <c r="H10" s="8" t="e">
        <f t="shared" si="0"/>
        <v>#REF!</v>
      </c>
      <c r="I10" s="8" t="e">
        <f t="shared" si="1"/>
        <v>#REF!</v>
      </c>
      <c r="J10" s="8" t="e">
        <f t="shared" si="2"/>
        <v>#REF!</v>
      </c>
      <c r="K10" s="8" t="e">
        <f t="shared" si="3"/>
        <v>#REF!</v>
      </c>
    </row>
    <row r="11" spans="1:11" x14ac:dyDescent="0.4">
      <c r="A11" s="6" t="e">
        <f>IF(raw!#REF!="","",raw!#REF!)</f>
        <v>#REF!</v>
      </c>
      <c r="B11" s="10" t="e">
        <f>IF(raw!#REF!="","",raw!#REF!)</f>
        <v>#REF!</v>
      </c>
      <c r="C11" s="6" t="e">
        <f>IF(raw!#REF!="","",raw!#REF!)</f>
        <v>#REF!</v>
      </c>
      <c r="D11" s="6" t="e">
        <f>IF(raw!#REF!="","",raw!#REF!)</f>
        <v>#REF!</v>
      </c>
      <c r="E11" s="6" t="e">
        <f>IF(raw!#REF!="","",raw!#REF!)</f>
        <v>#REF!</v>
      </c>
      <c r="F11" s="6" t="e">
        <f>IF(raw!#REF!="","",raw!#REF!)</f>
        <v>#REF!</v>
      </c>
      <c r="G11" s="6" t="e">
        <f>IF(raw!#REF!="","",raw!#REF!)</f>
        <v>#REF!</v>
      </c>
      <c r="H11" s="8" t="e">
        <f t="shared" si="0"/>
        <v>#REF!</v>
      </c>
      <c r="I11" s="8" t="e">
        <f t="shared" si="1"/>
        <v>#REF!</v>
      </c>
      <c r="J11" s="8" t="e">
        <f t="shared" si="2"/>
        <v>#REF!</v>
      </c>
      <c r="K11" s="8" t="e">
        <f t="shared" si="3"/>
        <v>#REF!</v>
      </c>
    </row>
    <row r="12" spans="1:11" x14ac:dyDescent="0.4">
      <c r="A12" s="6" t="e">
        <f>IF(raw!#REF!="","",raw!#REF!)</f>
        <v>#REF!</v>
      </c>
      <c r="B12" s="10" t="e">
        <f>IF(raw!#REF!="","",raw!#REF!)</f>
        <v>#REF!</v>
      </c>
      <c r="C12" s="6" t="e">
        <f>IF(raw!#REF!="","",raw!#REF!)</f>
        <v>#REF!</v>
      </c>
      <c r="D12" s="6" t="e">
        <f>IF(raw!#REF!="","",raw!#REF!)</f>
        <v>#REF!</v>
      </c>
      <c r="E12" s="6" t="e">
        <f>IF(raw!#REF!="","",raw!#REF!)</f>
        <v>#REF!</v>
      </c>
      <c r="F12" s="6" t="e">
        <f>IF(raw!#REF!="","",raw!#REF!)</f>
        <v>#REF!</v>
      </c>
      <c r="G12" s="6" t="e">
        <f>IF(raw!#REF!="","",raw!#REF!)</f>
        <v>#REF!</v>
      </c>
      <c r="H12" s="8" t="e">
        <f t="shared" si="0"/>
        <v>#REF!</v>
      </c>
      <c r="I12" s="8" t="e">
        <f t="shared" si="1"/>
        <v>#REF!</v>
      </c>
      <c r="J12" s="8" t="e">
        <f t="shared" si="2"/>
        <v>#REF!</v>
      </c>
      <c r="K12" s="8" t="e">
        <f t="shared" si="3"/>
        <v>#REF!</v>
      </c>
    </row>
    <row r="13" spans="1:11" x14ac:dyDescent="0.4">
      <c r="A13" s="6" t="e">
        <f>IF(raw!#REF!="","",raw!#REF!)</f>
        <v>#REF!</v>
      </c>
      <c r="B13" s="10" t="e">
        <f>IF(raw!#REF!="","",raw!#REF!)</f>
        <v>#REF!</v>
      </c>
      <c r="C13" s="6" t="e">
        <f>IF(raw!#REF!="","",raw!#REF!)</f>
        <v>#REF!</v>
      </c>
      <c r="D13" s="6" t="e">
        <f>IF(raw!#REF!="","",raw!#REF!)</f>
        <v>#REF!</v>
      </c>
      <c r="E13" s="6" t="e">
        <f>IF(raw!#REF!="","",raw!#REF!)</f>
        <v>#REF!</v>
      </c>
      <c r="F13" s="6" t="e">
        <f>IF(raw!#REF!="","",raw!#REF!)</f>
        <v>#REF!</v>
      </c>
      <c r="G13" s="6" t="e">
        <f>IF(raw!#REF!="","",raw!#REF!)</f>
        <v>#REF!</v>
      </c>
      <c r="H13" s="8" t="e">
        <f t="shared" si="0"/>
        <v>#REF!</v>
      </c>
      <c r="I13" s="8" t="e">
        <f t="shared" si="1"/>
        <v>#REF!</v>
      </c>
      <c r="J13" s="8" t="e">
        <f t="shared" si="2"/>
        <v>#REF!</v>
      </c>
      <c r="K13" s="8" t="e">
        <f t="shared" si="3"/>
        <v>#REF!</v>
      </c>
    </row>
    <row r="14" spans="1:11" x14ac:dyDescent="0.4">
      <c r="A14" s="6" t="e">
        <f>IF(raw!#REF!="","",raw!#REF!)</f>
        <v>#REF!</v>
      </c>
      <c r="B14" s="10" t="e">
        <f>IF(raw!#REF!="","",raw!#REF!)</f>
        <v>#REF!</v>
      </c>
      <c r="C14" s="6" t="e">
        <f>IF(raw!#REF!="","",raw!#REF!)</f>
        <v>#REF!</v>
      </c>
      <c r="D14" s="6" t="e">
        <f>IF(raw!#REF!="","",raw!#REF!)</f>
        <v>#REF!</v>
      </c>
      <c r="E14" s="6" t="e">
        <f>IF(raw!#REF!="","",raw!#REF!)</f>
        <v>#REF!</v>
      </c>
      <c r="F14" s="6" t="e">
        <f>IF(raw!#REF!="","",raw!#REF!)</f>
        <v>#REF!</v>
      </c>
      <c r="G14" s="6" t="e">
        <f>IF(raw!#REF!="","",raw!#REF!)</f>
        <v>#REF!</v>
      </c>
      <c r="H14" s="8" t="e">
        <f t="shared" si="0"/>
        <v>#REF!</v>
      </c>
      <c r="I14" s="8" t="e">
        <f t="shared" si="1"/>
        <v>#REF!</v>
      </c>
      <c r="J14" s="8" t="e">
        <f t="shared" si="2"/>
        <v>#REF!</v>
      </c>
      <c r="K14" s="8" t="e">
        <f t="shared" si="3"/>
        <v>#REF!</v>
      </c>
    </row>
    <row r="15" spans="1:11" x14ac:dyDescent="0.4">
      <c r="A15" s="6" t="e">
        <f>IF(raw!#REF!="","",raw!#REF!)</f>
        <v>#REF!</v>
      </c>
      <c r="B15" s="10" t="e">
        <f>IF(raw!#REF!="","",raw!#REF!)</f>
        <v>#REF!</v>
      </c>
      <c r="C15" s="6" t="e">
        <f>IF(raw!#REF!="","",raw!#REF!)</f>
        <v>#REF!</v>
      </c>
      <c r="D15" s="6" t="e">
        <f>IF(raw!#REF!="","",raw!#REF!)</f>
        <v>#REF!</v>
      </c>
      <c r="E15" s="6" t="e">
        <f>IF(raw!#REF!="","",raw!#REF!)</f>
        <v>#REF!</v>
      </c>
      <c r="F15" s="6" t="e">
        <f>IF(raw!#REF!="","",raw!#REF!)</f>
        <v>#REF!</v>
      </c>
      <c r="G15" s="6" t="e">
        <f>IF(raw!#REF!="","",raw!#REF!)</f>
        <v>#REF!</v>
      </c>
      <c r="H15" s="8" t="e">
        <f t="shared" si="0"/>
        <v>#REF!</v>
      </c>
      <c r="I15" s="8" t="e">
        <f t="shared" si="1"/>
        <v>#REF!</v>
      </c>
      <c r="J15" s="8" t="e">
        <f t="shared" si="2"/>
        <v>#REF!</v>
      </c>
      <c r="K15" s="8" t="e">
        <f t="shared" si="3"/>
        <v>#REF!</v>
      </c>
    </row>
    <row r="16" spans="1:11" x14ac:dyDescent="0.4">
      <c r="A16" s="6" t="e">
        <f>IF(raw!#REF!="","",raw!#REF!)</f>
        <v>#REF!</v>
      </c>
      <c r="B16" s="10" t="e">
        <f>IF(raw!#REF!="","",raw!#REF!)</f>
        <v>#REF!</v>
      </c>
      <c r="C16" s="6" t="e">
        <f>IF(raw!#REF!="","",raw!#REF!)</f>
        <v>#REF!</v>
      </c>
      <c r="D16" s="6" t="e">
        <f>IF(raw!#REF!="","",raw!#REF!)</f>
        <v>#REF!</v>
      </c>
      <c r="E16" s="6" t="e">
        <f>IF(raw!#REF!="","",raw!#REF!)</f>
        <v>#REF!</v>
      </c>
      <c r="F16" s="6" t="e">
        <f>IF(raw!#REF!="","",raw!#REF!)</f>
        <v>#REF!</v>
      </c>
      <c r="G16" s="6" t="e">
        <f>IF(raw!#REF!="","",raw!#REF!)</f>
        <v>#REF!</v>
      </c>
      <c r="H16" s="8" t="e">
        <f t="shared" si="0"/>
        <v>#REF!</v>
      </c>
      <c r="I16" s="8" t="e">
        <f t="shared" si="1"/>
        <v>#REF!</v>
      </c>
      <c r="J16" s="8" t="e">
        <f t="shared" si="2"/>
        <v>#REF!</v>
      </c>
      <c r="K16" s="8" t="e">
        <f t="shared" si="3"/>
        <v>#REF!</v>
      </c>
    </row>
    <row r="17" spans="1:11" x14ac:dyDescent="0.4">
      <c r="A17" s="6" t="e">
        <f>IF(raw!#REF!="","",raw!#REF!)</f>
        <v>#REF!</v>
      </c>
      <c r="B17" s="10" t="e">
        <f>IF(raw!#REF!="","",raw!#REF!)</f>
        <v>#REF!</v>
      </c>
      <c r="C17" s="6" t="e">
        <f>IF(raw!#REF!="","",raw!#REF!)</f>
        <v>#REF!</v>
      </c>
      <c r="D17" s="6" t="e">
        <f>IF(raw!#REF!="","",raw!#REF!)</f>
        <v>#REF!</v>
      </c>
      <c r="E17" s="6" t="e">
        <f>IF(raw!#REF!="","",raw!#REF!)</f>
        <v>#REF!</v>
      </c>
      <c r="F17" s="6" t="e">
        <f>IF(raw!#REF!="","",raw!#REF!)</f>
        <v>#REF!</v>
      </c>
      <c r="G17" s="6" t="e">
        <f>IF(raw!#REF!="","",raw!#REF!)</f>
        <v>#REF!</v>
      </c>
      <c r="H17" s="8" t="e">
        <f t="shared" si="0"/>
        <v>#REF!</v>
      </c>
      <c r="I17" s="8" t="e">
        <f t="shared" si="1"/>
        <v>#REF!</v>
      </c>
      <c r="J17" s="8" t="e">
        <f t="shared" si="2"/>
        <v>#REF!</v>
      </c>
      <c r="K17" s="8" t="e">
        <f t="shared" si="3"/>
        <v>#REF!</v>
      </c>
    </row>
    <row r="18" spans="1:11" x14ac:dyDescent="0.4">
      <c r="A18" s="6" t="e">
        <f>IF(raw!#REF!="","",raw!#REF!)</f>
        <v>#REF!</v>
      </c>
      <c r="B18" s="10" t="e">
        <f>IF(raw!#REF!="","",raw!#REF!)</f>
        <v>#REF!</v>
      </c>
      <c r="C18" s="6" t="e">
        <f>IF(raw!#REF!="","",raw!#REF!)</f>
        <v>#REF!</v>
      </c>
      <c r="D18" s="6" t="e">
        <f>IF(raw!#REF!="","",raw!#REF!)</f>
        <v>#REF!</v>
      </c>
      <c r="E18" s="6" t="e">
        <f>IF(raw!#REF!="","",raw!#REF!)</f>
        <v>#REF!</v>
      </c>
      <c r="F18" s="6" t="e">
        <f>IF(raw!#REF!="","",raw!#REF!)</f>
        <v>#REF!</v>
      </c>
      <c r="G18" s="6" t="e">
        <f>IF(raw!#REF!="","",raw!#REF!)</f>
        <v>#REF!</v>
      </c>
      <c r="H18" s="8" t="e">
        <f t="shared" si="0"/>
        <v>#REF!</v>
      </c>
      <c r="I18" s="8" t="e">
        <f t="shared" si="1"/>
        <v>#REF!</v>
      </c>
      <c r="J18" s="8" t="e">
        <f t="shared" si="2"/>
        <v>#REF!</v>
      </c>
      <c r="K18" s="8" t="e">
        <f t="shared" si="3"/>
        <v>#REF!</v>
      </c>
    </row>
    <row r="19" spans="1:11" x14ac:dyDescent="0.4">
      <c r="A19" s="6" t="e">
        <f>IF(raw!#REF!="","",raw!#REF!)</f>
        <v>#REF!</v>
      </c>
      <c r="B19" s="10" t="e">
        <f>IF(raw!#REF!="","",raw!#REF!)</f>
        <v>#REF!</v>
      </c>
      <c r="C19" s="6" t="e">
        <f>IF(raw!#REF!="","",raw!#REF!)</f>
        <v>#REF!</v>
      </c>
      <c r="D19" s="6" t="e">
        <f>IF(raw!#REF!="","",raw!#REF!)</f>
        <v>#REF!</v>
      </c>
      <c r="E19" s="6" t="e">
        <f>IF(raw!#REF!="","",raw!#REF!)</f>
        <v>#REF!</v>
      </c>
      <c r="F19" s="6" t="e">
        <f>IF(raw!#REF!="","",raw!#REF!)</f>
        <v>#REF!</v>
      </c>
      <c r="G19" s="6" t="e">
        <f>IF(raw!#REF!="","",raw!#REF!)</f>
        <v>#REF!</v>
      </c>
      <c r="H19" s="8" t="e">
        <f t="shared" si="0"/>
        <v>#REF!</v>
      </c>
      <c r="I19" s="8" t="e">
        <f t="shared" si="1"/>
        <v>#REF!</v>
      </c>
      <c r="J19" s="8" t="e">
        <f t="shared" si="2"/>
        <v>#REF!</v>
      </c>
      <c r="K19" s="8" t="e">
        <f t="shared" si="3"/>
        <v>#REF!</v>
      </c>
    </row>
    <row r="20" spans="1:11" x14ac:dyDescent="0.4">
      <c r="A20" s="6" t="e">
        <f>IF(raw!#REF!="","",raw!#REF!)</f>
        <v>#REF!</v>
      </c>
      <c r="B20" s="10" t="e">
        <f>IF(raw!#REF!="","",raw!#REF!)</f>
        <v>#REF!</v>
      </c>
      <c r="C20" s="6" t="e">
        <f>IF(raw!#REF!="","",raw!#REF!)</f>
        <v>#REF!</v>
      </c>
      <c r="D20" s="6" t="e">
        <f>IF(raw!#REF!="","",raw!#REF!)</f>
        <v>#REF!</v>
      </c>
      <c r="E20" s="6" t="e">
        <f>IF(raw!#REF!="","",raw!#REF!)</f>
        <v>#REF!</v>
      </c>
      <c r="F20" s="6" t="e">
        <f>IF(raw!#REF!="","",raw!#REF!)</f>
        <v>#REF!</v>
      </c>
      <c r="G20" s="6" t="e">
        <f>IF(raw!#REF!="","",raw!#REF!)</f>
        <v>#REF!</v>
      </c>
      <c r="H20" s="8" t="e">
        <f t="shared" si="0"/>
        <v>#REF!</v>
      </c>
      <c r="I20" s="8" t="e">
        <f t="shared" si="1"/>
        <v>#REF!</v>
      </c>
      <c r="J20" s="8" t="e">
        <f t="shared" si="2"/>
        <v>#REF!</v>
      </c>
      <c r="K20" s="8" t="e">
        <f t="shared" si="3"/>
        <v>#REF!</v>
      </c>
    </row>
    <row r="21" spans="1:11" x14ac:dyDescent="0.4">
      <c r="A21" s="6" t="e">
        <f>IF(raw!#REF!="","",raw!#REF!)</f>
        <v>#REF!</v>
      </c>
      <c r="B21" s="10" t="e">
        <f>IF(raw!#REF!="","",raw!#REF!)</f>
        <v>#REF!</v>
      </c>
      <c r="C21" s="6" t="e">
        <f>IF(raw!#REF!="","",raw!#REF!)</f>
        <v>#REF!</v>
      </c>
      <c r="D21" s="6" t="e">
        <f>IF(raw!#REF!="","",raw!#REF!)</f>
        <v>#REF!</v>
      </c>
      <c r="E21" s="6" t="e">
        <f>IF(raw!#REF!="","",raw!#REF!)</f>
        <v>#REF!</v>
      </c>
      <c r="F21" s="6" t="e">
        <f>IF(raw!#REF!="","",raw!#REF!)</f>
        <v>#REF!</v>
      </c>
      <c r="G21" s="6" t="e">
        <f>IF(raw!#REF!="","",raw!#REF!)</f>
        <v>#REF!</v>
      </c>
      <c r="H21" s="8" t="e">
        <f t="shared" si="0"/>
        <v>#REF!</v>
      </c>
      <c r="I21" s="8" t="e">
        <f t="shared" si="1"/>
        <v>#REF!</v>
      </c>
      <c r="J21" s="8" t="e">
        <f t="shared" si="2"/>
        <v>#REF!</v>
      </c>
      <c r="K21" s="8" t="e">
        <f t="shared" si="3"/>
        <v>#REF!</v>
      </c>
    </row>
    <row r="22" spans="1:11" x14ac:dyDescent="0.4">
      <c r="A22" s="6" t="e">
        <f>IF(raw!#REF!="","",raw!#REF!)</f>
        <v>#REF!</v>
      </c>
      <c r="B22" s="10" t="e">
        <f>IF(raw!#REF!="","",raw!#REF!)</f>
        <v>#REF!</v>
      </c>
      <c r="C22" s="6" t="e">
        <f>IF(raw!#REF!="","",raw!#REF!)</f>
        <v>#REF!</v>
      </c>
      <c r="D22" s="6" t="e">
        <f>IF(raw!#REF!="","",raw!#REF!)</f>
        <v>#REF!</v>
      </c>
      <c r="E22" s="6" t="e">
        <f>IF(raw!#REF!="","",raw!#REF!)</f>
        <v>#REF!</v>
      </c>
      <c r="F22" s="6" t="e">
        <f>IF(raw!#REF!="","",raw!#REF!)</f>
        <v>#REF!</v>
      </c>
      <c r="G22" s="6" t="e">
        <f>IF(raw!#REF!="","",raw!#REF!)</f>
        <v>#REF!</v>
      </c>
      <c r="H22" s="8" t="e">
        <f t="shared" si="0"/>
        <v>#REF!</v>
      </c>
      <c r="I22" s="8" t="e">
        <f t="shared" si="1"/>
        <v>#REF!</v>
      </c>
      <c r="J22" s="8" t="e">
        <f t="shared" si="2"/>
        <v>#REF!</v>
      </c>
      <c r="K22" s="8" t="e">
        <f t="shared" si="3"/>
        <v>#REF!</v>
      </c>
    </row>
    <row r="23" spans="1:11" x14ac:dyDescent="0.4">
      <c r="A23" s="6" t="e">
        <f>IF(raw!#REF!="","",raw!#REF!)</f>
        <v>#REF!</v>
      </c>
      <c r="B23" s="10" t="e">
        <f>IF(raw!#REF!="","",raw!#REF!)</f>
        <v>#REF!</v>
      </c>
      <c r="C23" s="6" t="e">
        <f>IF(raw!#REF!="","",raw!#REF!)</f>
        <v>#REF!</v>
      </c>
      <c r="D23" s="6" t="e">
        <f>IF(raw!#REF!="","",raw!#REF!)</f>
        <v>#REF!</v>
      </c>
      <c r="E23" s="6" t="e">
        <f>IF(raw!#REF!="","",raw!#REF!)</f>
        <v>#REF!</v>
      </c>
      <c r="F23" s="6" t="e">
        <f>IF(raw!#REF!="","",raw!#REF!)</f>
        <v>#REF!</v>
      </c>
      <c r="G23" s="6" t="e">
        <f>IF(raw!#REF!="","",raw!#REF!)</f>
        <v>#REF!</v>
      </c>
      <c r="H23" s="8" t="e">
        <f t="shared" si="0"/>
        <v>#REF!</v>
      </c>
      <c r="I23" s="8" t="e">
        <f t="shared" si="1"/>
        <v>#REF!</v>
      </c>
      <c r="J23" s="8" t="e">
        <f t="shared" si="2"/>
        <v>#REF!</v>
      </c>
      <c r="K23" s="8" t="e">
        <f t="shared" si="3"/>
        <v>#REF!</v>
      </c>
    </row>
    <row r="24" spans="1:11" x14ac:dyDescent="0.4">
      <c r="A24" s="6" t="e">
        <f>IF(raw!#REF!="","",raw!#REF!)</f>
        <v>#REF!</v>
      </c>
      <c r="B24" s="10" t="e">
        <f>IF(raw!#REF!="","",raw!#REF!)</f>
        <v>#REF!</v>
      </c>
      <c r="C24" s="6" t="e">
        <f>IF(raw!#REF!="","",raw!#REF!)</f>
        <v>#REF!</v>
      </c>
      <c r="D24" s="6" t="e">
        <f>IF(raw!#REF!="","",raw!#REF!)</f>
        <v>#REF!</v>
      </c>
      <c r="E24" s="6" t="e">
        <f>IF(raw!#REF!="","",raw!#REF!)</f>
        <v>#REF!</v>
      </c>
      <c r="F24" s="6" t="e">
        <f>IF(raw!#REF!="","",raw!#REF!)</f>
        <v>#REF!</v>
      </c>
      <c r="G24" s="6" t="e">
        <f>IF(raw!#REF!="","",raw!#REF!)</f>
        <v>#REF!</v>
      </c>
      <c r="H24" s="8" t="e">
        <f t="shared" si="0"/>
        <v>#REF!</v>
      </c>
      <c r="I24" s="8" t="e">
        <f t="shared" si="1"/>
        <v>#REF!</v>
      </c>
      <c r="J24" s="8" t="e">
        <f t="shared" si="2"/>
        <v>#REF!</v>
      </c>
      <c r="K24" s="8" t="e">
        <f t="shared" si="3"/>
        <v>#REF!</v>
      </c>
    </row>
    <row r="25" spans="1:11" x14ac:dyDescent="0.4">
      <c r="A25" s="6" t="e">
        <f>IF(raw!#REF!="","",raw!#REF!)</f>
        <v>#REF!</v>
      </c>
      <c r="B25" s="10" t="e">
        <f>IF(raw!#REF!="","",raw!#REF!)</f>
        <v>#REF!</v>
      </c>
      <c r="C25" s="6" t="e">
        <f>IF(raw!#REF!="","",raw!#REF!)</f>
        <v>#REF!</v>
      </c>
      <c r="D25" s="6" t="e">
        <f>IF(raw!#REF!="","",raw!#REF!)</f>
        <v>#REF!</v>
      </c>
      <c r="E25" s="6" t="e">
        <f>IF(raw!#REF!="","",raw!#REF!)</f>
        <v>#REF!</v>
      </c>
      <c r="F25" s="6" t="e">
        <f>IF(raw!#REF!="","",raw!#REF!)</f>
        <v>#REF!</v>
      </c>
      <c r="G25" s="6" t="e">
        <f>IF(raw!#REF!="","",raw!#REF!)</f>
        <v>#REF!</v>
      </c>
      <c r="H25" s="8" t="e">
        <f t="shared" si="0"/>
        <v>#REF!</v>
      </c>
      <c r="I25" s="8" t="e">
        <f t="shared" si="1"/>
        <v>#REF!</v>
      </c>
      <c r="J25" s="8" t="e">
        <f t="shared" si="2"/>
        <v>#REF!</v>
      </c>
      <c r="K25" s="8" t="e">
        <f t="shared" si="3"/>
        <v>#REF!</v>
      </c>
    </row>
    <row r="26" spans="1:11" x14ac:dyDescent="0.4">
      <c r="A26" s="6" t="e">
        <f>IF(raw!#REF!="","",raw!#REF!)</f>
        <v>#REF!</v>
      </c>
      <c r="B26" s="10" t="e">
        <f>IF(raw!#REF!="","",raw!#REF!)</f>
        <v>#REF!</v>
      </c>
      <c r="C26" s="6" t="e">
        <f>IF(raw!#REF!="","",raw!#REF!)</f>
        <v>#REF!</v>
      </c>
      <c r="D26" s="6" t="e">
        <f>IF(raw!#REF!="","",raw!#REF!)</f>
        <v>#REF!</v>
      </c>
      <c r="E26" s="6" t="e">
        <f>IF(raw!#REF!="","",raw!#REF!)</f>
        <v>#REF!</v>
      </c>
      <c r="F26" s="6" t="e">
        <f>IF(raw!#REF!="","",raw!#REF!)</f>
        <v>#REF!</v>
      </c>
      <c r="G26" s="6" t="e">
        <f>IF(raw!#REF!="","",raw!#REF!)</f>
        <v>#REF!</v>
      </c>
      <c r="H26" s="8" t="e">
        <f t="shared" si="0"/>
        <v>#REF!</v>
      </c>
      <c r="I26" s="8" t="e">
        <f t="shared" si="1"/>
        <v>#REF!</v>
      </c>
      <c r="J26" s="8" t="e">
        <f t="shared" si="2"/>
        <v>#REF!</v>
      </c>
      <c r="K26" s="8" t="e">
        <f t="shared" si="3"/>
        <v>#REF!</v>
      </c>
    </row>
    <row r="27" spans="1:11" x14ac:dyDescent="0.4">
      <c r="A27" s="6" t="e">
        <f>IF(raw!#REF!="","",raw!#REF!)</f>
        <v>#REF!</v>
      </c>
      <c r="B27" s="10" t="e">
        <f>IF(raw!#REF!="","",raw!#REF!)</f>
        <v>#REF!</v>
      </c>
      <c r="C27" s="6" t="e">
        <f>IF(raw!#REF!="","",raw!#REF!)</f>
        <v>#REF!</v>
      </c>
      <c r="D27" s="6" t="e">
        <f>IF(raw!#REF!="","",raw!#REF!)</f>
        <v>#REF!</v>
      </c>
      <c r="E27" s="6" t="e">
        <f>IF(raw!#REF!="","",raw!#REF!)</f>
        <v>#REF!</v>
      </c>
      <c r="F27" s="6" t="e">
        <f>IF(raw!#REF!="","",raw!#REF!)</f>
        <v>#REF!</v>
      </c>
      <c r="G27" s="6" t="e">
        <f>IF(raw!#REF!="","",raw!#REF!)</f>
        <v>#REF!</v>
      </c>
      <c r="H27" s="8" t="e">
        <f t="shared" si="0"/>
        <v>#REF!</v>
      </c>
      <c r="I27" s="8" t="e">
        <f t="shared" si="1"/>
        <v>#REF!</v>
      </c>
      <c r="J27" s="8" t="e">
        <f t="shared" si="2"/>
        <v>#REF!</v>
      </c>
      <c r="K27" s="8" t="e">
        <f t="shared" si="3"/>
        <v>#REF!</v>
      </c>
    </row>
    <row r="28" spans="1:11" x14ac:dyDescent="0.4">
      <c r="A28" s="6" t="e">
        <f>IF(raw!#REF!="","",raw!#REF!)</f>
        <v>#REF!</v>
      </c>
      <c r="B28" s="10" t="e">
        <f>IF(raw!#REF!="","",raw!#REF!)</f>
        <v>#REF!</v>
      </c>
      <c r="C28" s="6" t="e">
        <f>IF(raw!#REF!="","",raw!#REF!)</f>
        <v>#REF!</v>
      </c>
      <c r="D28" s="6" t="e">
        <f>IF(raw!#REF!="","",raw!#REF!)</f>
        <v>#REF!</v>
      </c>
      <c r="E28" s="6" t="e">
        <f>IF(raw!#REF!="","",raw!#REF!)</f>
        <v>#REF!</v>
      </c>
      <c r="F28" s="6" t="e">
        <f>IF(raw!#REF!="","",raw!#REF!)</f>
        <v>#REF!</v>
      </c>
      <c r="G28" s="6" t="e">
        <f>IF(raw!#REF!="","",raw!#REF!)</f>
        <v>#REF!</v>
      </c>
      <c r="H28" s="8" t="e">
        <f t="shared" si="0"/>
        <v>#REF!</v>
      </c>
      <c r="I28" s="8" t="e">
        <f t="shared" si="1"/>
        <v>#REF!</v>
      </c>
      <c r="J28" s="8" t="e">
        <f t="shared" si="2"/>
        <v>#REF!</v>
      </c>
      <c r="K28" s="8" t="e">
        <f t="shared" si="3"/>
        <v>#REF!</v>
      </c>
    </row>
    <row r="29" spans="1:11" x14ac:dyDescent="0.4">
      <c r="A29" s="6" t="e">
        <f>IF(raw!#REF!="","",raw!#REF!)</f>
        <v>#REF!</v>
      </c>
      <c r="B29" s="10" t="e">
        <f>IF(raw!#REF!="","",raw!#REF!)</f>
        <v>#REF!</v>
      </c>
      <c r="C29" s="6" t="e">
        <f>IF(raw!#REF!="","",raw!#REF!)</f>
        <v>#REF!</v>
      </c>
      <c r="D29" s="6" t="e">
        <f>IF(raw!#REF!="","",raw!#REF!)</f>
        <v>#REF!</v>
      </c>
      <c r="E29" s="6" t="e">
        <f>IF(raw!#REF!="","",raw!#REF!)</f>
        <v>#REF!</v>
      </c>
      <c r="F29" s="6" t="e">
        <f>IF(raw!#REF!="","",raw!#REF!)</f>
        <v>#REF!</v>
      </c>
      <c r="G29" s="6" t="e">
        <f>IF(raw!#REF!="","",raw!#REF!)</f>
        <v>#REF!</v>
      </c>
      <c r="H29" s="8" t="e">
        <f t="shared" si="0"/>
        <v>#REF!</v>
      </c>
      <c r="I29" s="8" t="e">
        <f t="shared" si="1"/>
        <v>#REF!</v>
      </c>
      <c r="J29" s="8" t="e">
        <f t="shared" si="2"/>
        <v>#REF!</v>
      </c>
      <c r="K29" s="8" t="e">
        <f t="shared" si="3"/>
        <v>#REF!</v>
      </c>
    </row>
    <row r="30" spans="1:11" x14ac:dyDescent="0.4">
      <c r="A30" s="6" t="e">
        <f>IF(raw!#REF!="","",raw!#REF!)</f>
        <v>#REF!</v>
      </c>
      <c r="B30" s="10" t="e">
        <f>IF(raw!#REF!="","",raw!#REF!)</f>
        <v>#REF!</v>
      </c>
      <c r="C30" s="6" t="e">
        <f>IF(raw!#REF!="","",raw!#REF!)</f>
        <v>#REF!</v>
      </c>
      <c r="D30" s="6" t="e">
        <f>IF(raw!#REF!="","",raw!#REF!)</f>
        <v>#REF!</v>
      </c>
      <c r="E30" s="6" t="e">
        <f>IF(raw!#REF!="","",raw!#REF!)</f>
        <v>#REF!</v>
      </c>
      <c r="F30" s="6" t="e">
        <f>IF(raw!#REF!="","",raw!#REF!)</f>
        <v>#REF!</v>
      </c>
      <c r="G30" s="6" t="e">
        <f>IF(raw!#REF!="","",raw!#REF!)</f>
        <v>#REF!</v>
      </c>
      <c r="H30" s="8" t="e">
        <f t="shared" si="0"/>
        <v>#REF!</v>
      </c>
      <c r="I30" s="8" t="e">
        <f t="shared" si="1"/>
        <v>#REF!</v>
      </c>
      <c r="J30" s="8" t="e">
        <f t="shared" si="2"/>
        <v>#REF!</v>
      </c>
      <c r="K30" s="8" t="e">
        <f t="shared" si="3"/>
        <v>#REF!</v>
      </c>
    </row>
    <row r="31" spans="1:11" x14ac:dyDescent="0.4">
      <c r="A31" s="6" t="e">
        <f>IF(raw!#REF!="","",raw!#REF!)</f>
        <v>#REF!</v>
      </c>
      <c r="B31" s="10" t="e">
        <f>IF(raw!#REF!="","",raw!#REF!)</f>
        <v>#REF!</v>
      </c>
      <c r="C31" s="6" t="e">
        <f>IF(raw!#REF!="","",raw!#REF!)</f>
        <v>#REF!</v>
      </c>
      <c r="D31" s="6" t="e">
        <f>IF(raw!#REF!="","",raw!#REF!)</f>
        <v>#REF!</v>
      </c>
      <c r="E31" s="6" t="e">
        <f>IF(raw!#REF!="","",raw!#REF!)</f>
        <v>#REF!</v>
      </c>
      <c r="F31" s="6" t="e">
        <f>IF(raw!#REF!="","",raw!#REF!)</f>
        <v>#REF!</v>
      </c>
      <c r="G31" s="6" t="e">
        <f>IF(raw!#REF!="","",raw!#REF!)</f>
        <v>#REF!</v>
      </c>
      <c r="H31" s="8" t="e">
        <f t="shared" si="0"/>
        <v>#REF!</v>
      </c>
      <c r="I31" s="8" t="e">
        <f t="shared" si="1"/>
        <v>#REF!</v>
      </c>
      <c r="J31" s="8" t="e">
        <f t="shared" si="2"/>
        <v>#REF!</v>
      </c>
      <c r="K31" s="8" t="e">
        <f t="shared" si="3"/>
        <v>#REF!</v>
      </c>
    </row>
    <row r="32" spans="1:11" x14ac:dyDescent="0.4">
      <c r="A32" s="6" t="e">
        <f>IF(raw!#REF!="","",raw!#REF!)</f>
        <v>#REF!</v>
      </c>
      <c r="B32" s="10" t="e">
        <f>IF(raw!#REF!="","",raw!#REF!)</f>
        <v>#REF!</v>
      </c>
      <c r="C32" s="6" t="e">
        <f>IF(raw!#REF!="","",raw!#REF!)</f>
        <v>#REF!</v>
      </c>
      <c r="D32" s="6" t="e">
        <f>IF(raw!#REF!="","",raw!#REF!)</f>
        <v>#REF!</v>
      </c>
      <c r="E32" s="6" t="e">
        <f>IF(raw!#REF!="","",raw!#REF!)</f>
        <v>#REF!</v>
      </c>
      <c r="F32" s="6" t="e">
        <f>IF(raw!#REF!="","",raw!#REF!)</f>
        <v>#REF!</v>
      </c>
      <c r="G32" s="6" t="e">
        <f>IF(raw!#REF!="","",raw!#REF!)</f>
        <v>#REF!</v>
      </c>
      <c r="H32" s="8" t="e">
        <f t="shared" si="0"/>
        <v>#REF!</v>
      </c>
      <c r="I32" s="8" t="e">
        <f t="shared" si="1"/>
        <v>#REF!</v>
      </c>
      <c r="J32" s="8" t="e">
        <f t="shared" si="2"/>
        <v>#REF!</v>
      </c>
      <c r="K32" s="8" t="e">
        <f t="shared" si="3"/>
        <v>#REF!</v>
      </c>
    </row>
    <row r="33" spans="1:11" x14ac:dyDescent="0.4">
      <c r="A33" s="6" t="e">
        <f>IF(raw!#REF!="","",raw!#REF!)</f>
        <v>#REF!</v>
      </c>
      <c r="B33" s="10" t="e">
        <f>IF(raw!#REF!="","",raw!#REF!)</f>
        <v>#REF!</v>
      </c>
      <c r="C33" s="6" t="e">
        <f>IF(raw!#REF!="","",raw!#REF!)</f>
        <v>#REF!</v>
      </c>
      <c r="D33" s="6" t="e">
        <f>IF(raw!#REF!="","",raw!#REF!)</f>
        <v>#REF!</v>
      </c>
      <c r="E33" s="6" t="e">
        <f>IF(raw!#REF!="","",raw!#REF!)</f>
        <v>#REF!</v>
      </c>
      <c r="F33" s="6" t="e">
        <f>IF(raw!#REF!="","",raw!#REF!)</f>
        <v>#REF!</v>
      </c>
      <c r="G33" s="6" t="e">
        <f>IF(raw!#REF!="","",raw!#REF!)</f>
        <v>#REF!</v>
      </c>
      <c r="H33" s="8" t="e">
        <f t="shared" si="0"/>
        <v>#REF!</v>
      </c>
      <c r="I33" s="8" t="e">
        <f t="shared" si="1"/>
        <v>#REF!</v>
      </c>
      <c r="J33" s="8" t="e">
        <f t="shared" si="2"/>
        <v>#REF!</v>
      </c>
      <c r="K33" s="8" t="e">
        <f t="shared" si="3"/>
        <v>#REF!</v>
      </c>
    </row>
    <row r="34" spans="1:11" x14ac:dyDescent="0.4">
      <c r="A34" s="6" t="str">
        <f>IF(raw!K9="","",raw!K9)</f>
        <v>ミニストップ</v>
      </c>
      <c r="B34" s="10">
        <f>IF(raw!M9="","",raw!M9)</f>
        <v>213528000000</v>
      </c>
      <c r="C34" s="6">
        <f>IF(raw!T9="","",raw!T9)</f>
        <v>3653000000</v>
      </c>
      <c r="D34" s="6">
        <f>IF(raw!A9="","",raw!A9)</f>
        <v>162123000000</v>
      </c>
      <c r="E34" s="6">
        <f>IF(raw!B9="","",raw!B9)</f>
        <v>4167000000</v>
      </c>
      <c r="F34" s="6">
        <f>IF(raw!C9="","",raw!C9)</f>
        <v>146075000000</v>
      </c>
      <c r="G34" s="6">
        <f>IF(raw!D9="","",raw!D9)</f>
        <v>5829000000</v>
      </c>
      <c r="H34" s="8">
        <f t="shared" ref="H34:H65" si="4">IF(B34="","",ROUND(B34/D34, 3)-1)</f>
        <v>0.31699999999999995</v>
      </c>
      <c r="I34" s="8">
        <f t="shared" ref="I34:I65" si="5">IF(D34="","",ROUND(D34/F34, 3)-1)</f>
        <v>0.1100000000000001</v>
      </c>
      <c r="J34" s="8">
        <f t="shared" ref="J34:J65" si="6">IF(C34="","",ROUND(C34/E34, 3)-1)</f>
        <v>-0.123</v>
      </c>
      <c r="K34" s="8">
        <f t="shared" ref="K34:K65" si="7">IF(E34="","",ROUND(E34/G34, 3)-1)</f>
        <v>-0.28500000000000003</v>
      </c>
    </row>
    <row r="35" spans="1:11" x14ac:dyDescent="0.4">
      <c r="A35" s="6" t="str">
        <f>IF(raw!K10="","",raw!K10)</f>
        <v/>
      </c>
      <c r="B35" s="10" t="str">
        <f>IF(raw!M10="","",raw!M10)</f>
        <v/>
      </c>
      <c r="C35" s="6" t="str">
        <f>IF(raw!T10="","",raw!T10)</f>
        <v/>
      </c>
      <c r="D35" s="6" t="str">
        <f>IF(raw!A10="","",raw!A10)</f>
        <v/>
      </c>
      <c r="E35" s="6" t="str">
        <f>IF(raw!B10="","",raw!B10)</f>
        <v/>
      </c>
      <c r="F35" s="6" t="str">
        <f>IF(raw!C10="","",raw!C10)</f>
        <v/>
      </c>
      <c r="G35" s="6" t="str">
        <f>IF(raw!D10="","",raw!D10)</f>
        <v/>
      </c>
      <c r="H35" s="8" t="str">
        <f t="shared" si="4"/>
        <v/>
      </c>
      <c r="I35" s="8" t="str">
        <f t="shared" si="5"/>
        <v/>
      </c>
      <c r="J35" s="8" t="str">
        <f t="shared" si="6"/>
        <v/>
      </c>
      <c r="K35" s="8" t="str">
        <f t="shared" si="7"/>
        <v/>
      </c>
    </row>
    <row r="36" spans="1:11" x14ac:dyDescent="0.4">
      <c r="A36" s="6" t="str">
        <f>IF(raw!K11="","",raw!K11)</f>
        <v/>
      </c>
      <c r="B36" s="10" t="str">
        <f>IF(raw!M11="","",raw!M11)</f>
        <v/>
      </c>
      <c r="C36" s="6" t="str">
        <f>IF(raw!T11="","",raw!T11)</f>
        <v/>
      </c>
      <c r="D36" s="6" t="str">
        <f>IF(raw!A11="","",raw!A11)</f>
        <v/>
      </c>
      <c r="E36" s="6" t="str">
        <f>IF(raw!B11="","",raw!B11)</f>
        <v/>
      </c>
      <c r="F36" s="6" t="str">
        <f>IF(raw!C11="","",raw!C11)</f>
        <v/>
      </c>
      <c r="G36" s="6" t="str">
        <f>IF(raw!D11="","",raw!D11)</f>
        <v/>
      </c>
      <c r="H36" s="8" t="str">
        <f t="shared" si="4"/>
        <v/>
      </c>
      <c r="I36" s="8" t="str">
        <f t="shared" si="5"/>
        <v/>
      </c>
      <c r="J36" s="8" t="str">
        <f t="shared" si="6"/>
        <v/>
      </c>
      <c r="K36" s="8" t="str">
        <f t="shared" si="7"/>
        <v/>
      </c>
    </row>
    <row r="37" spans="1:11" x14ac:dyDescent="0.4">
      <c r="A37" s="6" t="str">
        <f>IF(raw!K12="","",raw!K12)</f>
        <v/>
      </c>
      <c r="B37" s="10" t="str">
        <f>IF(raw!M12="","",raw!M12)</f>
        <v/>
      </c>
      <c r="C37" s="6" t="str">
        <f>IF(raw!T12="","",raw!T12)</f>
        <v/>
      </c>
      <c r="D37" s="6" t="str">
        <f>IF(raw!A12="","",raw!A12)</f>
        <v/>
      </c>
      <c r="E37" s="6" t="str">
        <f>IF(raw!B12="","",raw!B12)</f>
        <v/>
      </c>
      <c r="F37" s="6" t="str">
        <f>IF(raw!C12="","",raw!C12)</f>
        <v/>
      </c>
      <c r="G37" s="6" t="str">
        <f>IF(raw!D12="","",raw!D12)</f>
        <v/>
      </c>
      <c r="H37" s="8" t="str">
        <f t="shared" si="4"/>
        <v/>
      </c>
      <c r="I37" s="8" t="str">
        <f t="shared" si="5"/>
        <v/>
      </c>
      <c r="J37" s="8" t="str">
        <f t="shared" si="6"/>
        <v/>
      </c>
      <c r="K37" s="8" t="str">
        <f t="shared" si="7"/>
        <v/>
      </c>
    </row>
    <row r="38" spans="1:11" x14ac:dyDescent="0.4">
      <c r="A38" s="6" t="str">
        <f>IF(raw!K13="","",raw!K13)</f>
        <v/>
      </c>
      <c r="B38" s="10" t="str">
        <f>IF(raw!M13="","",raw!M13)</f>
        <v/>
      </c>
      <c r="C38" s="6" t="str">
        <f>IF(raw!T13="","",raw!T13)</f>
        <v/>
      </c>
      <c r="D38" s="6" t="str">
        <f>IF(raw!A13="","",raw!A13)</f>
        <v/>
      </c>
      <c r="E38" s="6" t="str">
        <f>IF(raw!B13="","",raw!B13)</f>
        <v/>
      </c>
      <c r="F38" s="6" t="str">
        <f>IF(raw!C13="","",raw!C13)</f>
        <v/>
      </c>
      <c r="G38" s="6" t="str">
        <f>IF(raw!D13="","",raw!D13)</f>
        <v/>
      </c>
      <c r="H38" s="8" t="str">
        <f t="shared" si="4"/>
        <v/>
      </c>
      <c r="I38" s="8" t="str">
        <f t="shared" si="5"/>
        <v/>
      </c>
      <c r="J38" s="8" t="str">
        <f t="shared" si="6"/>
        <v/>
      </c>
      <c r="K38" s="8" t="str">
        <f t="shared" si="7"/>
        <v/>
      </c>
    </row>
    <row r="39" spans="1:11" x14ac:dyDescent="0.4">
      <c r="A39" s="6" t="str">
        <f>IF(raw!K14="","",raw!K14)</f>
        <v/>
      </c>
      <c r="B39" s="10" t="str">
        <f>IF(raw!M14="","",raw!M14)</f>
        <v/>
      </c>
      <c r="C39" s="6" t="str">
        <f>IF(raw!T14="","",raw!T14)</f>
        <v/>
      </c>
      <c r="D39" s="6" t="str">
        <f>IF(raw!A14="","",raw!A14)</f>
        <v/>
      </c>
      <c r="E39" s="6" t="str">
        <f>IF(raw!B14="","",raw!B14)</f>
        <v/>
      </c>
      <c r="F39" s="6" t="str">
        <f>IF(raw!C14="","",raw!C14)</f>
        <v/>
      </c>
      <c r="G39" s="6" t="str">
        <f>IF(raw!D14="","",raw!D14)</f>
        <v/>
      </c>
      <c r="H39" s="8" t="str">
        <f t="shared" si="4"/>
        <v/>
      </c>
      <c r="I39" s="8" t="str">
        <f t="shared" si="5"/>
        <v/>
      </c>
      <c r="J39" s="8" t="str">
        <f t="shared" si="6"/>
        <v/>
      </c>
      <c r="K39" s="8" t="str">
        <f t="shared" si="7"/>
        <v/>
      </c>
    </row>
    <row r="40" spans="1:11" x14ac:dyDescent="0.4">
      <c r="A40" s="6" t="str">
        <f>IF(raw!K15="","",raw!K15)</f>
        <v/>
      </c>
      <c r="B40" s="10" t="str">
        <f>IF(raw!M15="","",raw!M15)</f>
        <v/>
      </c>
      <c r="C40" s="6" t="str">
        <f>IF(raw!T15="","",raw!T15)</f>
        <v/>
      </c>
      <c r="D40" s="6" t="str">
        <f>IF(raw!A15="","",raw!A15)</f>
        <v/>
      </c>
      <c r="E40" s="6" t="str">
        <f>IF(raw!B15="","",raw!B15)</f>
        <v/>
      </c>
      <c r="F40" s="6" t="str">
        <f>IF(raw!C15="","",raw!C15)</f>
        <v/>
      </c>
      <c r="G40" s="6" t="str">
        <f>IF(raw!D15="","",raw!D15)</f>
        <v/>
      </c>
      <c r="H40" s="8" t="str">
        <f t="shared" si="4"/>
        <v/>
      </c>
      <c r="I40" s="8" t="str">
        <f t="shared" si="5"/>
        <v/>
      </c>
      <c r="J40" s="8" t="str">
        <f t="shared" si="6"/>
        <v/>
      </c>
      <c r="K40" s="8" t="str">
        <f t="shared" si="7"/>
        <v/>
      </c>
    </row>
    <row r="41" spans="1:11" x14ac:dyDescent="0.4">
      <c r="A41" s="6" t="str">
        <f>IF(raw!K16="","",raw!K16)</f>
        <v/>
      </c>
      <c r="B41" s="10" t="str">
        <f>IF(raw!M16="","",raw!M16)</f>
        <v/>
      </c>
      <c r="C41" s="6" t="str">
        <f>IF(raw!T16="","",raw!T16)</f>
        <v/>
      </c>
      <c r="D41" s="6" t="str">
        <f>IF(raw!A16="","",raw!A16)</f>
        <v/>
      </c>
      <c r="E41" s="6" t="str">
        <f>IF(raw!B16="","",raw!B16)</f>
        <v/>
      </c>
      <c r="F41" s="6" t="str">
        <f>IF(raw!C16="","",raw!C16)</f>
        <v/>
      </c>
      <c r="G41" s="6" t="str">
        <f>IF(raw!D16="","",raw!D16)</f>
        <v/>
      </c>
      <c r="H41" s="8" t="str">
        <f t="shared" si="4"/>
        <v/>
      </c>
      <c r="I41" s="8" t="str">
        <f t="shared" si="5"/>
        <v/>
      </c>
      <c r="J41" s="8" t="str">
        <f t="shared" si="6"/>
        <v/>
      </c>
      <c r="K41" s="8" t="str">
        <f t="shared" si="7"/>
        <v/>
      </c>
    </row>
    <row r="42" spans="1:11" x14ac:dyDescent="0.4">
      <c r="A42" s="6" t="str">
        <f>IF(raw!K17="","",raw!K17)</f>
        <v/>
      </c>
      <c r="B42" s="10" t="str">
        <f>IF(raw!M17="","",raw!M17)</f>
        <v/>
      </c>
      <c r="C42" s="6" t="str">
        <f>IF(raw!T17="","",raw!T17)</f>
        <v/>
      </c>
      <c r="D42" s="6" t="str">
        <f>IF(raw!A17="","",raw!A17)</f>
        <v/>
      </c>
      <c r="E42" s="6" t="str">
        <f>IF(raw!B17="","",raw!B17)</f>
        <v/>
      </c>
      <c r="F42" s="6" t="str">
        <f>IF(raw!C17="","",raw!C17)</f>
        <v/>
      </c>
      <c r="G42" s="6" t="str">
        <f>IF(raw!D17="","",raw!D17)</f>
        <v/>
      </c>
      <c r="H42" s="8" t="str">
        <f t="shared" si="4"/>
        <v/>
      </c>
      <c r="I42" s="8" t="str">
        <f t="shared" si="5"/>
        <v/>
      </c>
      <c r="J42" s="8" t="str">
        <f t="shared" si="6"/>
        <v/>
      </c>
      <c r="K42" s="8" t="str">
        <f t="shared" si="7"/>
        <v/>
      </c>
    </row>
    <row r="43" spans="1:11" x14ac:dyDescent="0.4">
      <c r="A43" s="6" t="str">
        <f>IF(raw!K18="","",raw!K18)</f>
        <v/>
      </c>
      <c r="B43" s="10" t="str">
        <f>IF(raw!M18="","",raw!M18)</f>
        <v/>
      </c>
      <c r="C43" s="6" t="str">
        <f>IF(raw!T18="","",raw!T18)</f>
        <v/>
      </c>
      <c r="D43" s="6" t="str">
        <f>IF(raw!A18="","",raw!A18)</f>
        <v/>
      </c>
      <c r="E43" s="6" t="str">
        <f>IF(raw!B18="","",raw!B18)</f>
        <v/>
      </c>
      <c r="F43" s="6" t="str">
        <f>IF(raw!C18="","",raw!C18)</f>
        <v/>
      </c>
      <c r="G43" s="6" t="str">
        <f>IF(raw!D18="","",raw!D18)</f>
        <v/>
      </c>
      <c r="H43" s="8" t="str">
        <f t="shared" si="4"/>
        <v/>
      </c>
      <c r="I43" s="8" t="str">
        <f t="shared" si="5"/>
        <v/>
      </c>
      <c r="J43" s="8" t="str">
        <f t="shared" si="6"/>
        <v/>
      </c>
      <c r="K43" s="8" t="str">
        <f t="shared" si="7"/>
        <v/>
      </c>
    </row>
    <row r="44" spans="1:11" x14ac:dyDescent="0.4">
      <c r="A44" s="6" t="str">
        <f>IF(raw!K19="","",raw!K19)</f>
        <v/>
      </c>
      <c r="B44" s="10" t="str">
        <f>IF(raw!M19="","",raw!M19)</f>
        <v/>
      </c>
      <c r="C44" s="6" t="str">
        <f>IF(raw!T19="","",raw!T19)</f>
        <v/>
      </c>
      <c r="D44" s="6" t="str">
        <f>IF(raw!A19="","",raw!A19)</f>
        <v/>
      </c>
      <c r="E44" s="6" t="str">
        <f>IF(raw!B19="","",raw!B19)</f>
        <v/>
      </c>
      <c r="F44" s="6" t="str">
        <f>IF(raw!C19="","",raw!C19)</f>
        <v/>
      </c>
      <c r="G44" s="6" t="str">
        <f>IF(raw!D19="","",raw!D19)</f>
        <v/>
      </c>
      <c r="H44" s="8" t="str">
        <f t="shared" si="4"/>
        <v/>
      </c>
      <c r="I44" s="8" t="str">
        <f t="shared" si="5"/>
        <v/>
      </c>
      <c r="J44" s="8" t="str">
        <f t="shared" si="6"/>
        <v/>
      </c>
      <c r="K44" s="8" t="str">
        <f t="shared" si="7"/>
        <v/>
      </c>
    </row>
    <row r="45" spans="1:11" x14ac:dyDescent="0.4">
      <c r="A45" s="6" t="str">
        <f>IF(raw!K20="","",raw!K20)</f>
        <v/>
      </c>
      <c r="B45" s="10" t="str">
        <f>IF(raw!M20="","",raw!M20)</f>
        <v/>
      </c>
      <c r="C45" s="6" t="str">
        <f>IF(raw!T20="","",raw!T20)</f>
        <v/>
      </c>
      <c r="D45" s="6" t="str">
        <f>IF(raw!A20="","",raw!A20)</f>
        <v/>
      </c>
      <c r="E45" s="6" t="str">
        <f>IF(raw!B20="","",raw!B20)</f>
        <v/>
      </c>
      <c r="F45" s="6" t="str">
        <f>IF(raw!C20="","",raw!C20)</f>
        <v/>
      </c>
      <c r="G45" s="6" t="str">
        <f>IF(raw!D20="","",raw!D20)</f>
        <v/>
      </c>
      <c r="H45" s="8" t="str">
        <f t="shared" si="4"/>
        <v/>
      </c>
      <c r="I45" s="8" t="str">
        <f t="shared" si="5"/>
        <v/>
      </c>
      <c r="J45" s="8" t="str">
        <f t="shared" si="6"/>
        <v/>
      </c>
      <c r="K45" s="8" t="str">
        <f t="shared" si="7"/>
        <v/>
      </c>
    </row>
    <row r="46" spans="1:11" x14ac:dyDescent="0.4">
      <c r="A46" s="6" t="str">
        <f>IF(raw!K21="","",raw!K21)</f>
        <v/>
      </c>
      <c r="B46" s="10" t="str">
        <f>IF(raw!M21="","",raw!M21)</f>
        <v/>
      </c>
      <c r="C46" s="6" t="str">
        <f>IF(raw!T21="","",raw!T21)</f>
        <v/>
      </c>
      <c r="D46" s="6" t="str">
        <f>IF(raw!A21="","",raw!A21)</f>
        <v/>
      </c>
      <c r="E46" s="6" t="str">
        <f>IF(raw!B21="","",raw!B21)</f>
        <v/>
      </c>
      <c r="F46" s="6" t="str">
        <f>IF(raw!C21="","",raw!C21)</f>
        <v/>
      </c>
      <c r="G46" s="6" t="str">
        <f>IF(raw!D21="","",raw!D21)</f>
        <v/>
      </c>
      <c r="H46" s="8" t="str">
        <f t="shared" si="4"/>
        <v/>
      </c>
      <c r="I46" s="8" t="str">
        <f t="shared" si="5"/>
        <v/>
      </c>
      <c r="J46" s="8" t="str">
        <f t="shared" si="6"/>
        <v/>
      </c>
      <c r="K46" s="8" t="str">
        <f t="shared" si="7"/>
        <v/>
      </c>
    </row>
    <row r="47" spans="1:11" x14ac:dyDescent="0.4">
      <c r="A47" s="6" t="str">
        <f>IF(raw!K22="","",raw!K22)</f>
        <v/>
      </c>
      <c r="B47" s="10" t="str">
        <f>IF(raw!M22="","",raw!M22)</f>
        <v/>
      </c>
      <c r="C47" s="6" t="str">
        <f>IF(raw!T22="","",raw!T22)</f>
        <v/>
      </c>
      <c r="D47" s="6" t="str">
        <f>IF(raw!A22="","",raw!A22)</f>
        <v/>
      </c>
      <c r="E47" s="6" t="str">
        <f>IF(raw!B22="","",raw!B22)</f>
        <v/>
      </c>
      <c r="F47" s="6" t="str">
        <f>IF(raw!C22="","",raw!C22)</f>
        <v/>
      </c>
      <c r="G47" s="6" t="str">
        <f>IF(raw!D22="","",raw!D22)</f>
        <v/>
      </c>
      <c r="H47" s="8" t="str">
        <f t="shared" si="4"/>
        <v/>
      </c>
      <c r="I47" s="8" t="str">
        <f t="shared" si="5"/>
        <v/>
      </c>
      <c r="J47" s="8" t="str">
        <f t="shared" si="6"/>
        <v/>
      </c>
      <c r="K47" s="8" t="str">
        <f t="shared" si="7"/>
        <v/>
      </c>
    </row>
    <row r="48" spans="1:11" x14ac:dyDescent="0.4">
      <c r="A48" s="6" t="str">
        <f>IF(raw!K23="","",raw!K23)</f>
        <v/>
      </c>
      <c r="B48" s="10" t="str">
        <f>IF(raw!M23="","",raw!M23)</f>
        <v/>
      </c>
      <c r="C48" s="6" t="str">
        <f>IF(raw!T23="","",raw!T23)</f>
        <v/>
      </c>
      <c r="D48" s="6" t="str">
        <f>IF(raw!A23="","",raw!A23)</f>
        <v/>
      </c>
      <c r="E48" s="6" t="str">
        <f>IF(raw!B23="","",raw!B23)</f>
        <v/>
      </c>
      <c r="F48" s="6" t="str">
        <f>IF(raw!C23="","",raw!C23)</f>
        <v/>
      </c>
      <c r="G48" s="6" t="str">
        <f>IF(raw!D23="","",raw!D23)</f>
        <v/>
      </c>
      <c r="H48" s="8" t="str">
        <f t="shared" si="4"/>
        <v/>
      </c>
      <c r="I48" s="8" t="str">
        <f t="shared" si="5"/>
        <v/>
      </c>
      <c r="J48" s="8" t="str">
        <f t="shared" si="6"/>
        <v/>
      </c>
      <c r="K48" s="8" t="str">
        <f t="shared" si="7"/>
        <v/>
      </c>
    </row>
    <row r="49" spans="1:11" x14ac:dyDescent="0.4">
      <c r="A49" s="6" t="str">
        <f>IF(raw!K24="","",raw!K24)</f>
        <v/>
      </c>
      <c r="B49" s="10" t="str">
        <f>IF(raw!M24="","",raw!M24)</f>
        <v/>
      </c>
      <c r="C49" s="6" t="str">
        <f>IF(raw!T24="","",raw!T24)</f>
        <v/>
      </c>
      <c r="D49" s="6" t="str">
        <f>IF(raw!A24="","",raw!A24)</f>
        <v/>
      </c>
      <c r="E49" s="6" t="str">
        <f>IF(raw!B24="","",raw!B24)</f>
        <v/>
      </c>
      <c r="F49" s="6" t="str">
        <f>IF(raw!C24="","",raw!C24)</f>
        <v/>
      </c>
      <c r="G49" s="6" t="str">
        <f>IF(raw!D24="","",raw!D24)</f>
        <v/>
      </c>
      <c r="H49" s="8" t="str">
        <f t="shared" si="4"/>
        <v/>
      </c>
      <c r="I49" s="8" t="str">
        <f t="shared" si="5"/>
        <v/>
      </c>
      <c r="J49" s="8" t="str">
        <f t="shared" si="6"/>
        <v/>
      </c>
      <c r="K49" s="8" t="str">
        <f t="shared" si="7"/>
        <v/>
      </c>
    </row>
    <row r="50" spans="1:11" x14ac:dyDescent="0.4">
      <c r="A50" s="6" t="str">
        <f>IF(raw!K25="","",raw!K25)</f>
        <v/>
      </c>
      <c r="B50" s="10" t="str">
        <f>IF(raw!M25="","",raw!M25)</f>
        <v/>
      </c>
      <c r="C50" s="6" t="str">
        <f>IF(raw!T25="","",raw!T25)</f>
        <v/>
      </c>
      <c r="D50" s="6" t="str">
        <f>IF(raw!A25="","",raw!A25)</f>
        <v/>
      </c>
      <c r="E50" s="6" t="str">
        <f>IF(raw!B25="","",raw!B25)</f>
        <v/>
      </c>
      <c r="F50" s="6" t="str">
        <f>IF(raw!C25="","",raw!C25)</f>
        <v/>
      </c>
      <c r="G50" s="6" t="str">
        <f>IF(raw!D25="","",raw!D25)</f>
        <v/>
      </c>
      <c r="H50" s="8" t="str">
        <f t="shared" si="4"/>
        <v/>
      </c>
      <c r="I50" s="8" t="str">
        <f t="shared" si="5"/>
        <v/>
      </c>
      <c r="J50" s="8" t="str">
        <f t="shared" si="6"/>
        <v/>
      </c>
      <c r="K50" s="8" t="str">
        <f t="shared" si="7"/>
        <v/>
      </c>
    </row>
    <row r="51" spans="1:11" x14ac:dyDescent="0.4">
      <c r="A51" s="6" t="str">
        <f>IF(raw!K26="","",raw!K26)</f>
        <v/>
      </c>
      <c r="B51" s="10" t="str">
        <f>IF(raw!M26="","",raw!M26)</f>
        <v/>
      </c>
      <c r="C51" s="6" t="str">
        <f>IF(raw!T26="","",raw!T26)</f>
        <v/>
      </c>
      <c r="D51" s="6" t="str">
        <f>IF(raw!A26="","",raw!A26)</f>
        <v/>
      </c>
      <c r="E51" s="6" t="str">
        <f>IF(raw!B26="","",raw!B26)</f>
        <v/>
      </c>
      <c r="F51" s="6" t="str">
        <f>IF(raw!C26="","",raw!C26)</f>
        <v/>
      </c>
      <c r="G51" s="6" t="str">
        <f>IF(raw!D26="","",raw!D26)</f>
        <v/>
      </c>
      <c r="H51" s="8" t="str">
        <f t="shared" si="4"/>
        <v/>
      </c>
      <c r="I51" s="8" t="str">
        <f t="shared" si="5"/>
        <v/>
      </c>
      <c r="J51" s="8" t="str">
        <f t="shared" si="6"/>
        <v/>
      </c>
      <c r="K51" s="8" t="str">
        <f t="shared" si="7"/>
        <v/>
      </c>
    </row>
    <row r="52" spans="1:11" x14ac:dyDescent="0.4">
      <c r="A52" s="6" t="str">
        <f>IF(raw!K27="","",raw!K27)</f>
        <v/>
      </c>
      <c r="B52" s="10" t="str">
        <f>IF(raw!M27="","",raw!M27)</f>
        <v/>
      </c>
      <c r="C52" s="6" t="str">
        <f>IF(raw!T27="","",raw!T27)</f>
        <v/>
      </c>
      <c r="D52" s="6" t="str">
        <f>IF(raw!A27="","",raw!A27)</f>
        <v/>
      </c>
      <c r="E52" s="6" t="str">
        <f>IF(raw!B27="","",raw!B27)</f>
        <v/>
      </c>
      <c r="F52" s="6" t="str">
        <f>IF(raw!C27="","",raw!C27)</f>
        <v/>
      </c>
      <c r="G52" s="6" t="str">
        <f>IF(raw!D27="","",raw!D27)</f>
        <v/>
      </c>
      <c r="H52" s="8" t="str">
        <f t="shared" si="4"/>
        <v/>
      </c>
      <c r="I52" s="8" t="str">
        <f t="shared" si="5"/>
        <v/>
      </c>
      <c r="J52" s="8" t="str">
        <f t="shared" si="6"/>
        <v/>
      </c>
      <c r="K52" s="8" t="str">
        <f t="shared" si="7"/>
        <v/>
      </c>
    </row>
    <row r="53" spans="1:11" x14ac:dyDescent="0.4">
      <c r="A53" s="6" t="str">
        <f>IF(raw!K28="","",raw!K28)</f>
        <v/>
      </c>
      <c r="B53" s="10" t="str">
        <f>IF(raw!M28="","",raw!M28)</f>
        <v/>
      </c>
      <c r="C53" s="6" t="str">
        <f>IF(raw!T28="","",raw!T28)</f>
        <v/>
      </c>
      <c r="D53" s="6" t="str">
        <f>IF(raw!A28="","",raw!A28)</f>
        <v/>
      </c>
      <c r="E53" s="6" t="str">
        <f>IF(raw!B28="","",raw!B28)</f>
        <v/>
      </c>
      <c r="F53" s="6" t="str">
        <f>IF(raw!C28="","",raw!C28)</f>
        <v/>
      </c>
      <c r="G53" s="6" t="str">
        <f>IF(raw!D28="","",raw!D28)</f>
        <v/>
      </c>
      <c r="H53" s="8" t="str">
        <f t="shared" si="4"/>
        <v/>
      </c>
      <c r="I53" s="8" t="str">
        <f t="shared" si="5"/>
        <v/>
      </c>
      <c r="J53" s="8" t="str">
        <f t="shared" si="6"/>
        <v/>
      </c>
      <c r="K53" s="8" t="str">
        <f t="shared" si="7"/>
        <v/>
      </c>
    </row>
    <row r="54" spans="1:11" x14ac:dyDescent="0.4">
      <c r="A54" s="6" t="str">
        <f>IF(raw!K29="","",raw!K29)</f>
        <v/>
      </c>
      <c r="B54" s="10" t="str">
        <f>IF(raw!M29="","",raw!M29)</f>
        <v/>
      </c>
      <c r="C54" s="6" t="str">
        <f>IF(raw!T29="","",raw!T29)</f>
        <v/>
      </c>
      <c r="D54" s="6" t="str">
        <f>IF(raw!A29="","",raw!A29)</f>
        <v/>
      </c>
      <c r="E54" s="6" t="str">
        <f>IF(raw!B29="","",raw!B29)</f>
        <v/>
      </c>
      <c r="F54" s="6" t="str">
        <f>IF(raw!C29="","",raw!C29)</f>
        <v/>
      </c>
      <c r="G54" s="6" t="str">
        <f>IF(raw!D29="","",raw!D29)</f>
        <v/>
      </c>
      <c r="H54" s="8" t="str">
        <f t="shared" si="4"/>
        <v/>
      </c>
      <c r="I54" s="8" t="str">
        <f t="shared" si="5"/>
        <v/>
      </c>
      <c r="J54" s="8" t="str">
        <f t="shared" si="6"/>
        <v/>
      </c>
      <c r="K54" s="8" t="str">
        <f t="shared" si="7"/>
        <v/>
      </c>
    </row>
    <row r="55" spans="1:11" x14ac:dyDescent="0.4">
      <c r="A55" s="6" t="str">
        <f>IF(raw!K30="","",raw!K30)</f>
        <v/>
      </c>
      <c r="B55" s="10" t="str">
        <f>IF(raw!M30="","",raw!M30)</f>
        <v/>
      </c>
      <c r="C55" s="6" t="str">
        <f>IF(raw!T30="","",raw!T30)</f>
        <v/>
      </c>
      <c r="D55" s="6" t="str">
        <f>IF(raw!A30="","",raw!A30)</f>
        <v/>
      </c>
      <c r="E55" s="6" t="str">
        <f>IF(raw!B30="","",raw!B30)</f>
        <v/>
      </c>
      <c r="F55" s="6" t="str">
        <f>IF(raw!C30="","",raw!C30)</f>
        <v/>
      </c>
      <c r="G55" s="6" t="str">
        <f>IF(raw!D30="","",raw!D30)</f>
        <v/>
      </c>
      <c r="H55" s="8" t="str">
        <f t="shared" si="4"/>
        <v/>
      </c>
      <c r="I55" s="8" t="str">
        <f t="shared" si="5"/>
        <v/>
      </c>
      <c r="J55" s="8" t="str">
        <f t="shared" si="6"/>
        <v/>
      </c>
      <c r="K55" s="8" t="str">
        <f t="shared" si="7"/>
        <v/>
      </c>
    </row>
    <row r="56" spans="1:11" x14ac:dyDescent="0.4">
      <c r="A56" s="6" t="str">
        <f>IF(raw!K31="","",raw!K31)</f>
        <v/>
      </c>
      <c r="B56" s="10" t="str">
        <f>IF(raw!M31="","",raw!M31)</f>
        <v/>
      </c>
      <c r="C56" s="6" t="str">
        <f>IF(raw!T31="","",raw!T31)</f>
        <v/>
      </c>
      <c r="D56" s="6" t="str">
        <f>IF(raw!A31="","",raw!A31)</f>
        <v/>
      </c>
      <c r="E56" s="6" t="str">
        <f>IF(raw!B31="","",raw!B31)</f>
        <v/>
      </c>
      <c r="F56" s="6" t="str">
        <f>IF(raw!C31="","",raw!C31)</f>
        <v/>
      </c>
      <c r="G56" s="6" t="str">
        <f>IF(raw!D31="","",raw!D31)</f>
        <v/>
      </c>
      <c r="H56" s="8" t="str">
        <f t="shared" si="4"/>
        <v/>
      </c>
      <c r="I56" s="8" t="str">
        <f t="shared" si="5"/>
        <v/>
      </c>
      <c r="J56" s="8" t="str">
        <f t="shared" si="6"/>
        <v/>
      </c>
      <c r="K56" s="8" t="str">
        <f t="shared" si="7"/>
        <v/>
      </c>
    </row>
    <row r="57" spans="1:11" x14ac:dyDescent="0.4">
      <c r="A57" s="6" t="str">
        <f>IF(raw!K32="","",raw!K32)</f>
        <v/>
      </c>
      <c r="B57" s="10" t="str">
        <f>IF(raw!M32="","",raw!M32)</f>
        <v/>
      </c>
      <c r="C57" s="6" t="str">
        <f>IF(raw!T32="","",raw!T32)</f>
        <v/>
      </c>
      <c r="D57" s="6" t="str">
        <f>IF(raw!A32="","",raw!A32)</f>
        <v/>
      </c>
      <c r="E57" s="6" t="str">
        <f>IF(raw!B32="","",raw!B32)</f>
        <v/>
      </c>
      <c r="F57" s="6" t="str">
        <f>IF(raw!C32="","",raw!C32)</f>
        <v/>
      </c>
      <c r="G57" s="6" t="str">
        <f>IF(raw!D32="","",raw!D32)</f>
        <v/>
      </c>
      <c r="H57" s="8" t="str">
        <f t="shared" si="4"/>
        <v/>
      </c>
      <c r="I57" s="8" t="str">
        <f t="shared" si="5"/>
        <v/>
      </c>
      <c r="J57" s="8" t="str">
        <f t="shared" si="6"/>
        <v/>
      </c>
      <c r="K57" s="8" t="str">
        <f t="shared" si="7"/>
        <v/>
      </c>
    </row>
    <row r="58" spans="1:11" x14ac:dyDescent="0.4">
      <c r="A58" s="6" t="str">
        <f>IF(raw!K33="","",raw!K33)</f>
        <v/>
      </c>
      <c r="B58" s="10" t="str">
        <f>IF(raw!M33="","",raw!M33)</f>
        <v/>
      </c>
      <c r="C58" s="6" t="str">
        <f>IF(raw!T33="","",raw!T33)</f>
        <v/>
      </c>
      <c r="D58" s="6" t="str">
        <f>IF(raw!A33="","",raw!A33)</f>
        <v/>
      </c>
      <c r="E58" s="6" t="str">
        <f>IF(raw!B33="","",raw!B33)</f>
        <v/>
      </c>
      <c r="F58" s="6" t="str">
        <f>IF(raw!C33="","",raw!C33)</f>
        <v/>
      </c>
      <c r="G58" s="6" t="str">
        <f>IF(raw!D33="","",raw!D33)</f>
        <v/>
      </c>
      <c r="H58" s="8" t="str">
        <f t="shared" si="4"/>
        <v/>
      </c>
      <c r="I58" s="8" t="str">
        <f t="shared" si="5"/>
        <v/>
      </c>
      <c r="J58" s="8" t="str">
        <f t="shared" si="6"/>
        <v/>
      </c>
      <c r="K58" s="8" t="str">
        <f t="shared" si="7"/>
        <v/>
      </c>
    </row>
    <row r="59" spans="1:11" x14ac:dyDescent="0.4">
      <c r="A59" s="6" t="str">
        <f>IF(raw!K34="","",raw!K34)</f>
        <v/>
      </c>
      <c r="B59" s="10" t="str">
        <f>IF(raw!M34="","",raw!M34)</f>
        <v/>
      </c>
      <c r="C59" s="6" t="str">
        <f>IF(raw!T34="","",raw!T34)</f>
        <v/>
      </c>
      <c r="D59" s="6" t="str">
        <f>IF(raw!A34="","",raw!A34)</f>
        <v/>
      </c>
      <c r="E59" s="6" t="str">
        <f>IF(raw!B34="","",raw!B34)</f>
        <v/>
      </c>
      <c r="F59" s="6" t="str">
        <f>IF(raw!C34="","",raw!C34)</f>
        <v/>
      </c>
      <c r="G59" s="6" t="str">
        <f>IF(raw!D34="","",raw!D34)</f>
        <v/>
      </c>
      <c r="H59" s="8" t="str">
        <f t="shared" si="4"/>
        <v/>
      </c>
      <c r="I59" s="8" t="str">
        <f t="shared" si="5"/>
        <v/>
      </c>
      <c r="J59" s="8" t="str">
        <f t="shared" si="6"/>
        <v/>
      </c>
      <c r="K59" s="8" t="str">
        <f t="shared" si="7"/>
        <v/>
      </c>
    </row>
    <row r="60" spans="1:11" x14ac:dyDescent="0.4">
      <c r="A60" s="6" t="str">
        <f>IF(raw!K35="","",raw!K35)</f>
        <v/>
      </c>
      <c r="B60" s="10" t="str">
        <f>IF(raw!M35="","",raw!M35)</f>
        <v/>
      </c>
      <c r="C60" s="6" t="str">
        <f>IF(raw!T35="","",raw!T35)</f>
        <v/>
      </c>
      <c r="D60" s="6" t="str">
        <f>IF(raw!A35="","",raw!A35)</f>
        <v/>
      </c>
      <c r="E60" s="6" t="str">
        <f>IF(raw!B35="","",raw!B35)</f>
        <v/>
      </c>
      <c r="F60" s="6" t="str">
        <f>IF(raw!C35="","",raw!C35)</f>
        <v/>
      </c>
      <c r="G60" s="6" t="str">
        <f>IF(raw!D35="","",raw!D35)</f>
        <v/>
      </c>
      <c r="H60" s="8" t="str">
        <f t="shared" si="4"/>
        <v/>
      </c>
      <c r="I60" s="8" t="str">
        <f t="shared" si="5"/>
        <v/>
      </c>
      <c r="J60" s="8" t="str">
        <f t="shared" si="6"/>
        <v/>
      </c>
      <c r="K60" s="8" t="str">
        <f t="shared" si="7"/>
        <v/>
      </c>
    </row>
    <row r="61" spans="1:11" x14ac:dyDescent="0.4">
      <c r="A61" s="6" t="str">
        <f>IF(raw!K36="","",raw!K36)</f>
        <v/>
      </c>
      <c r="B61" s="10" t="str">
        <f>IF(raw!M36="","",raw!M36)</f>
        <v/>
      </c>
      <c r="C61" s="6" t="str">
        <f>IF(raw!T36="","",raw!T36)</f>
        <v/>
      </c>
      <c r="D61" s="6" t="str">
        <f>IF(raw!A36="","",raw!A36)</f>
        <v/>
      </c>
      <c r="E61" s="6" t="str">
        <f>IF(raw!B36="","",raw!B36)</f>
        <v/>
      </c>
      <c r="F61" s="6" t="str">
        <f>IF(raw!C36="","",raw!C36)</f>
        <v/>
      </c>
      <c r="G61" s="6" t="str">
        <f>IF(raw!D36="","",raw!D36)</f>
        <v/>
      </c>
      <c r="H61" s="8" t="str">
        <f t="shared" si="4"/>
        <v/>
      </c>
      <c r="I61" s="8" t="str">
        <f t="shared" si="5"/>
        <v/>
      </c>
      <c r="J61" s="8" t="str">
        <f t="shared" si="6"/>
        <v/>
      </c>
      <c r="K61" s="8" t="str">
        <f t="shared" si="7"/>
        <v/>
      </c>
    </row>
    <row r="62" spans="1:11" x14ac:dyDescent="0.4">
      <c r="A62" s="6" t="str">
        <f>IF(raw!K37="","",raw!K37)</f>
        <v/>
      </c>
      <c r="B62" s="10" t="str">
        <f>IF(raw!M37="","",raw!M37)</f>
        <v/>
      </c>
      <c r="C62" s="6" t="str">
        <f>IF(raw!T37="","",raw!T37)</f>
        <v/>
      </c>
      <c r="D62" s="6" t="str">
        <f>IF(raw!A37="","",raw!A37)</f>
        <v/>
      </c>
      <c r="E62" s="6" t="str">
        <f>IF(raw!B37="","",raw!B37)</f>
        <v/>
      </c>
      <c r="F62" s="6" t="str">
        <f>IF(raw!C37="","",raw!C37)</f>
        <v/>
      </c>
      <c r="G62" s="6" t="str">
        <f>IF(raw!D37="","",raw!D37)</f>
        <v/>
      </c>
      <c r="H62" s="8" t="str">
        <f t="shared" si="4"/>
        <v/>
      </c>
      <c r="I62" s="8" t="str">
        <f t="shared" si="5"/>
        <v/>
      </c>
      <c r="J62" s="8" t="str">
        <f t="shared" si="6"/>
        <v/>
      </c>
      <c r="K62" s="8" t="str">
        <f t="shared" si="7"/>
        <v/>
      </c>
    </row>
    <row r="63" spans="1:11" x14ac:dyDescent="0.4">
      <c r="A63" s="6" t="str">
        <f>IF(raw!K38="","",raw!K38)</f>
        <v/>
      </c>
      <c r="B63" s="10" t="str">
        <f>IF(raw!M38="","",raw!M38)</f>
        <v/>
      </c>
      <c r="C63" s="6" t="str">
        <f>IF(raw!T38="","",raw!T38)</f>
        <v/>
      </c>
      <c r="D63" s="6" t="str">
        <f>IF(raw!A38="","",raw!A38)</f>
        <v/>
      </c>
      <c r="E63" s="6" t="str">
        <f>IF(raw!B38="","",raw!B38)</f>
        <v/>
      </c>
      <c r="F63" s="6" t="str">
        <f>IF(raw!C38="","",raw!C38)</f>
        <v/>
      </c>
      <c r="G63" s="6" t="str">
        <f>IF(raw!D38="","",raw!D38)</f>
        <v/>
      </c>
      <c r="H63" s="8" t="str">
        <f t="shared" si="4"/>
        <v/>
      </c>
      <c r="I63" s="8" t="str">
        <f t="shared" si="5"/>
        <v/>
      </c>
      <c r="J63" s="8" t="str">
        <f t="shared" si="6"/>
        <v/>
      </c>
      <c r="K63" s="8" t="str">
        <f t="shared" si="7"/>
        <v/>
      </c>
    </row>
    <row r="64" spans="1:11" x14ac:dyDescent="0.4">
      <c r="A64" s="6" t="str">
        <f>IF(raw!K39="","",raw!K39)</f>
        <v/>
      </c>
      <c r="B64" s="10" t="str">
        <f>IF(raw!M39="","",raw!M39)</f>
        <v/>
      </c>
      <c r="C64" s="6" t="str">
        <f>IF(raw!T39="","",raw!T39)</f>
        <v/>
      </c>
      <c r="D64" s="6" t="str">
        <f>IF(raw!A39="","",raw!A39)</f>
        <v/>
      </c>
      <c r="E64" s="6" t="str">
        <f>IF(raw!B39="","",raw!B39)</f>
        <v/>
      </c>
      <c r="F64" s="6" t="str">
        <f>IF(raw!C39="","",raw!C39)</f>
        <v/>
      </c>
      <c r="G64" s="6" t="str">
        <f>IF(raw!D39="","",raw!D39)</f>
        <v/>
      </c>
      <c r="H64" s="8" t="str">
        <f t="shared" si="4"/>
        <v/>
      </c>
      <c r="I64" s="8" t="str">
        <f t="shared" si="5"/>
        <v/>
      </c>
      <c r="J64" s="8" t="str">
        <f t="shared" si="6"/>
        <v/>
      </c>
      <c r="K64" s="8" t="str">
        <f t="shared" si="7"/>
        <v/>
      </c>
    </row>
    <row r="65" spans="1:11" x14ac:dyDescent="0.4">
      <c r="A65" s="6" t="str">
        <f>IF(raw!K40="","",raw!K40)</f>
        <v/>
      </c>
      <c r="B65" s="10" t="str">
        <f>IF(raw!M40="","",raw!M40)</f>
        <v/>
      </c>
      <c r="C65" s="6" t="str">
        <f>IF(raw!T40="","",raw!T40)</f>
        <v/>
      </c>
      <c r="D65" s="6" t="str">
        <f>IF(raw!A40="","",raw!A40)</f>
        <v/>
      </c>
      <c r="E65" s="6" t="str">
        <f>IF(raw!B40="","",raw!B40)</f>
        <v/>
      </c>
      <c r="F65" s="6" t="str">
        <f>IF(raw!C40="","",raw!C40)</f>
        <v/>
      </c>
      <c r="G65" s="6" t="str">
        <f>IF(raw!D40="","",raw!D40)</f>
        <v/>
      </c>
      <c r="H65" s="8" t="str">
        <f t="shared" si="4"/>
        <v/>
      </c>
      <c r="I65" s="8" t="str">
        <f t="shared" si="5"/>
        <v/>
      </c>
      <c r="J65" s="8" t="str">
        <f t="shared" si="6"/>
        <v/>
      </c>
      <c r="K65" s="8" t="str">
        <f t="shared" si="7"/>
        <v/>
      </c>
    </row>
    <row r="66" spans="1:11" x14ac:dyDescent="0.4">
      <c r="A66" s="6" t="str">
        <f>IF(raw!K41="","",raw!K41)</f>
        <v/>
      </c>
      <c r="B66" s="10" t="str">
        <f>IF(raw!M41="","",raw!M41)</f>
        <v/>
      </c>
      <c r="C66" s="6" t="str">
        <f>IF(raw!T41="","",raw!T41)</f>
        <v/>
      </c>
      <c r="D66" s="6" t="str">
        <f>IF(raw!A41="","",raw!A41)</f>
        <v/>
      </c>
      <c r="E66" s="6" t="str">
        <f>IF(raw!B41="","",raw!B41)</f>
        <v/>
      </c>
      <c r="F66" s="6" t="str">
        <f>IF(raw!C41="","",raw!C41)</f>
        <v/>
      </c>
      <c r="G66" s="6" t="str">
        <f>IF(raw!D41="","",raw!D41)</f>
        <v/>
      </c>
      <c r="H66" s="8" t="str">
        <f t="shared" ref="H66:H97" si="8">IF(B66="","",ROUND(B66/D66, 3)-1)</f>
        <v/>
      </c>
      <c r="I66" s="8" t="str">
        <f t="shared" ref="I66:I97" si="9">IF(D66="","",ROUND(D66/F66, 3)-1)</f>
        <v/>
      </c>
      <c r="J66" s="8" t="str">
        <f t="shared" ref="J66:J97" si="10">IF(C66="","",ROUND(C66/E66, 3)-1)</f>
        <v/>
      </c>
      <c r="K66" s="8" t="str">
        <f t="shared" ref="K66:K97" si="11">IF(E66="","",ROUND(E66/G66, 3)-1)</f>
        <v/>
      </c>
    </row>
    <row r="67" spans="1:11" x14ac:dyDescent="0.4">
      <c r="A67" s="6" t="str">
        <f>IF(raw!K42="","",raw!K42)</f>
        <v/>
      </c>
      <c r="B67" s="10" t="str">
        <f>IF(raw!M42="","",raw!M42)</f>
        <v/>
      </c>
      <c r="C67" s="6" t="str">
        <f>IF(raw!T42="","",raw!T42)</f>
        <v/>
      </c>
      <c r="D67" s="6" t="str">
        <f>IF(raw!A42="","",raw!A42)</f>
        <v/>
      </c>
      <c r="E67" s="6" t="str">
        <f>IF(raw!B42="","",raw!B42)</f>
        <v/>
      </c>
      <c r="F67" s="6" t="str">
        <f>IF(raw!C42="","",raw!C42)</f>
        <v/>
      </c>
      <c r="G67" s="6" t="str">
        <f>IF(raw!D42="","",raw!D42)</f>
        <v/>
      </c>
      <c r="H67" s="8" t="str">
        <f t="shared" si="8"/>
        <v/>
      </c>
      <c r="I67" s="8" t="str">
        <f t="shared" si="9"/>
        <v/>
      </c>
      <c r="J67" s="8" t="str">
        <f t="shared" si="10"/>
        <v/>
      </c>
      <c r="K67" s="8" t="str">
        <f t="shared" si="11"/>
        <v/>
      </c>
    </row>
    <row r="68" spans="1:11" x14ac:dyDescent="0.4">
      <c r="A68" s="6" t="str">
        <f>IF(raw!K43="","",raw!K43)</f>
        <v/>
      </c>
      <c r="B68" s="10" t="str">
        <f>IF(raw!M43="","",raw!M43)</f>
        <v/>
      </c>
      <c r="C68" s="6" t="str">
        <f>IF(raw!T43="","",raw!T43)</f>
        <v/>
      </c>
      <c r="D68" s="6" t="str">
        <f>IF(raw!A43="","",raw!A43)</f>
        <v/>
      </c>
      <c r="E68" s="6" t="str">
        <f>IF(raw!B43="","",raw!B43)</f>
        <v/>
      </c>
      <c r="F68" s="6" t="str">
        <f>IF(raw!C43="","",raw!C43)</f>
        <v/>
      </c>
      <c r="G68" s="6" t="str">
        <f>IF(raw!D43="","",raw!D43)</f>
        <v/>
      </c>
      <c r="H68" s="8" t="str">
        <f t="shared" si="8"/>
        <v/>
      </c>
      <c r="I68" s="8" t="str">
        <f t="shared" si="9"/>
        <v/>
      </c>
      <c r="J68" s="8" t="str">
        <f t="shared" si="10"/>
        <v/>
      </c>
      <c r="K68" s="8" t="str">
        <f t="shared" si="11"/>
        <v/>
      </c>
    </row>
    <row r="69" spans="1:11" x14ac:dyDescent="0.4">
      <c r="A69" s="6" t="str">
        <f>IF(raw!K44="","",raw!K44)</f>
        <v/>
      </c>
      <c r="B69" s="10" t="str">
        <f>IF(raw!M44="","",raw!M44)</f>
        <v/>
      </c>
      <c r="C69" s="6" t="str">
        <f>IF(raw!T44="","",raw!T44)</f>
        <v/>
      </c>
      <c r="D69" s="6" t="str">
        <f>IF(raw!A44="","",raw!A44)</f>
        <v/>
      </c>
      <c r="E69" s="6" t="str">
        <f>IF(raw!B44="","",raw!B44)</f>
        <v/>
      </c>
      <c r="F69" s="6" t="str">
        <f>IF(raw!C44="","",raw!C44)</f>
        <v/>
      </c>
      <c r="G69" s="6" t="str">
        <f>IF(raw!D44="","",raw!D44)</f>
        <v/>
      </c>
      <c r="H69" s="8" t="str">
        <f t="shared" si="8"/>
        <v/>
      </c>
      <c r="I69" s="8" t="str">
        <f t="shared" si="9"/>
        <v/>
      </c>
      <c r="J69" s="8" t="str">
        <f t="shared" si="10"/>
        <v/>
      </c>
      <c r="K69" s="8" t="str">
        <f t="shared" si="11"/>
        <v/>
      </c>
    </row>
    <row r="70" spans="1:11" x14ac:dyDescent="0.4">
      <c r="A70" s="6" t="str">
        <f>IF(raw!K45="","",raw!K45)</f>
        <v/>
      </c>
      <c r="B70" s="10" t="str">
        <f>IF(raw!M45="","",raw!M45)</f>
        <v/>
      </c>
      <c r="C70" s="6" t="str">
        <f>IF(raw!T45="","",raw!T45)</f>
        <v/>
      </c>
      <c r="D70" s="6" t="str">
        <f>IF(raw!A45="","",raw!A45)</f>
        <v/>
      </c>
      <c r="E70" s="6" t="str">
        <f>IF(raw!B45="","",raw!B45)</f>
        <v/>
      </c>
      <c r="F70" s="6" t="str">
        <f>IF(raw!C45="","",raw!C45)</f>
        <v/>
      </c>
      <c r="G70" s="6" t="str">
        <f>IF(raw!D45="","",raw!D45)</f>
        <v/>
      </c>
      <c r="H70" s="8" t="str">
        <f t="shared" si="8"/>
        <v/>
      </c>
      <c r="I70" s="8" t="str">
        <f t="shared" si="9"/>
        <v/>
      </c>
      <c r="J70" s="8" t="str">
        <f t="shared" si="10"/>
        <v/>
      </c>
      <c r="K70" s="8" t="str">
        <f t="shared" si="11"/>
        <v/>
      </c>
    </row>
    <row r="71" spans="1:11" x14ac:dyDescent="0.4">
      <c r="A71" s="6" t="str">
        <f>IF(raw!K46="","",raw!K46)</f>
        <v/>
      </c>
      <c r="B71" s="10" t="str">
        <f>IF(raw!M46="","",raw!M46)</f>
        <v/>
      </c>
      <c r="C71" s="6" t="str">
        <f>IF(raw!T46="","",raw!T46)</f>
        <v/>
      </c>
      <c r="D71" s="6" t="str">
        <f>IF(raw!A46="","",raw!A46)</f>
        <v/>
      </c>
      <c r="E71" s="6" t="str">
        <f>IF(raw!B46="","",raw!B46)</f>
        <v/>
      </c>
      <c r="F71" s="6" t="str">
        <f>IF(raw!C46="","",raw!C46)</f>
        <v/>
      </c>
      <c r="G71" s="6" t="str">
        <f>IF(raw!D46="","",raw!D46)</f>
        <v/>
      </c>
      <c r="H71" s="8" t="str">
        <f t="shared" si="8"/>
        <v/>
      </c>
      <c r="I71" s="8" t="str">
        <f t="shared" si="9"/>
        <v/>
      </c>
      <c r="J71" s="8" t="str">
        <f t="shared" si="10"/>
        <v/>
      </c>
      <c r="K71" s="8" t="str">
        <f t="shared" si="11"/>
        <v/>
      </c>
    </row>
    <row r="72" spans="1:11" x14ac:dyDescent="0.4">
      <c r="A72" s="6" t="str">
        <f>IF(raw!K47="","",raw!K47)</f>
        <v/>
      </c>
      <c r="B72" s="10" t="str">
        <f>IF(raw!M47="","",raw!M47)</f>
        <v/>
      </c>
      <c r="C72" s="6" t="str">
        <f>IF(raw!T47="","",raw!T47)</f>
        <v/>
      </c>
      <c r="D72" s="6" t="str">
        <f>IF(raw!A47="","",raw!A47)</f>
        <v/>
      </c>
      <c r="E72" s="6" t="str">
        <f>IF(raw!B47="","",raw!B47)</f>
        <v/>
      </c>
      <c r="F72" s="6" t="str">
        <f>IF(raw!C47="","",raw!C47)</f>
        <v/>
      </c>
      <c r="G72" s="6" t="str">
        <f>IF(raw!D47="","",raw!D47)</f>
        <v/>
      </c>
      <c r="H72" s="8" t="str">
        <f t="shared" si="8"/>
        <v/>
      </c>
      <c r="I72" s="8" t="str">
        <f t="shared" si="9"/>
        <v/>
      </c>
      <c r="J72" s="8" t="str">
        <f t="shared" si="10"/>
        <v/>
      </c>
      <c r="K72" s="8" t="str">
        <f t="shared" si="11"/>
        <v/>
      </c>
    </row>
    <row r="73" spans="1:11" x14ac:dyDescent="0.4">
      <c r="A73" s="6" t="str">
        <f>IF(raw!K48="","",raw!K48)</f>
        <v/>
      </c>
      <c r="B73" s="10" t="str">
        <f>IF(raw!M48="","",raw!M48)</f>
        <v/>
      </c>
      <c r="C73" s="6" t="str">
        <f>IF(raw!T48="","",raw!T48)</f>
        <v/>
      </c>
      <c r="D73" s="6" t="str">
        <f>IF(raw!A48="","",raw!A48)</f>
        <v/>
      </c>
      <c r="E73" s="6" t="str">
        <f>IF(raw!B48="","",raw!B48)</f>
        <v/>
      </c>
      <c r="F73" s="6" t="str">
        <f>IF(raw!C48="","",raw!C48)</f>
        <v/>
      </c>
      <c r="G73" s="6" t="str">
        <f>IF(raw!D48="","",raw!D48)</f>
        <v/>
      </c>
      <c r="H73" s="8" t="str">
        <f t="shared" si="8"/>
        <v/>
      </c>
      <c r="I73" s="8" t="str">
        <f t="shared" si="9"/>
        <v/>
      </c>
      <c r="J73" s="8" t="str">
        <f t="shared" si="10"/>
        <v/>
      </c>
      <c r="K73" s="8" t="str">
        <f t="shared" si="11"/>
        <v/>
      </c>
    </row>
    <row r="74" spans="1:11" x14ac:dyDescent="0.4">
      <c r="A74" s="6" t="str">
        <f>IF(raw!K49="","",raw!K49)</f>
        <v/>
      </c>
      <c r="B74" s="10" t="str">
        <f>IF(raw!M49="","",raw!M49)</f>
        <v/>
      </c>
      <c r="C74" s="6" t="str">
        <f>IF(raw!T49="","",raw!T49)</f>
        <v/>
      </c>
      <c r="D74" s="6" t="str">
        <f>IF(raw!A49="","",raw!A49)</f>
        <v/>
      </c>
      <c r="E74" s="6" t="str">
        <f>IF(raw!B49="","",raw!B49)</f>
        <v/>
      </c>
      <c r="F74" s="6" t="str">
        <f>IF(raw!C49="","",raw!C49)</f>
        <v/>
      </c>
      <c r="G74" s="6" t="str">
        <f>IF(raw!D49="","",raw!D49)</f>
        <v/>
      </c>
      <c r="H74" s="8" t="str">
        <f t="shared" si="8"/>
        <v/>
      </c>
      <c r="I74" s="8" t="str">
        <f t="shared" si="9"/>
        <v/>
      </c>
      <c r="J74" s="8" t="str">
        <f t="shared" si="10"/>
        <v/>
      </c>
      <c r="K74" s="8" t="str">
        <f t="shared" si="11"/>
        <v/>
      </c>
    </row>
    <row r="75" spans="1:11" x14ac:dyDescent="0.4">
      <c r="A75" s="6" t="str">
        <f>IF(raw!K50="","",raw!K50)</f>
        <v/>
      </c>
      <c r="B75" s="10" t="str">
        <f>IF(raw!M50="","",raw!M50)</f>
        <v/>
      </c>
      <c r="C75" s="6" t="str">
        <f>IF(raw!T50="","",raw!T50)</f>
        <v/>
      </c>
      <c r="D75" s="6" t="str">
        <f>IF(raw!A50="","",raw!A50)</f>
        <v/>
      </c>
      <c r="E75" s="6" t="str">
        <f>IF(raw!B50="","",raw!B50)</f>
        <v/>
      </c>
      <c r="F75" s="6" t="str">
        <f>IF(raw!C50="","",raw!C50)</f>
        <v/>
      </c>
      <c r="G75" s="6" t="str">
        <f>IF(raw!D50="","",raw!D50)</f>
        <v/>
      </c>
      <c r="H75" s="8" t="str">
        <f t="shared" si="8"/>
        <v/>
      </c>
      <c r="I75" s="8" t="str">
        <f t="shared" si="9"/>
        <v/>
      </c>
      <c r="J75" s="8" t="str">
        <f t="shared" si="10"/>
        <v/>
      </c>
      <c r="K75" s="8" t="str">
        <f t="shared" si="11"/>
        <v/>
      </c>
    </row>
    <row r="76" spans="1:11" x14ac:dyDescent="0.4">
      <c r="A76" s="6" t="str">
        <f>IF(raw!K51="","",raw!K51)</f>
        <v/>
      </c>
      <c r="B76" s="10" t="str">
        <f>IF(raw!M51="","",raw!M51)</f>
        <v/>
      </c>
      <c r="C76" s="6" t="str">
        <f>IF(raw!T51="","",raw!T51)</f>
        <v/>
      </c>
      <c r="D76" s="6" t="str">
        <f>IF(raw!A51="","",raw!A51)</f>
        <v/>
      </c>
      <c r="E76" s="6" t="str">
        <f>IF(raw!B51="","",raw!B51)</f>
        <v/>
      </c>
      <c r="F76" s="6" t="str">
        <f>IF(raw!C51="","",raw!C51)</f>
        <v/>
      </c>
      <c r="G76" s="6" t="str">
        <f>IF(raw!D51="","",raw!D51)</f>
        <v/>
      </c>
      <c r="H76" s="8" t="str">
        <f t="shared" si="8"/>
        <v/>
      </c>
      <c r="I76" s="8" t="str">
        <f t="shared" si="9"/>
        <v/>
      </c>
      <c r="J76" s="8" t="str">
        <f t="shared" si="10"/>
        <v/>
      </c>
      <c r="K76" s="8" t="str">
        <f t="shared" si="11"/>
        <v/>
      </c>
    </row>
    <row r="77" spans="1:11" x14ac:dyDescent="0.4">
      <c r="A77" s="6" t="str">
        <f>IF(raw!K52="","",raw!K52)</f>
        <v/>
      </c>
      <c r="B77" s="10" t="str">
        <f>IF(raw!M52="","",raw!M52)</f>
        <v/>
      </c>
      <c r="C77" s="6" t="str">
        <f>IF(raw!T52="","",raw!T52)</f>
        <v/>
      </c>
      <c r="D77" s="6" t="str">
        <f>IF(raw!A52="","",raw!A52)</f>
        <v/>
      </c>
      <c r="E77" s="6" t="str">
        <f>IF(raw!B52="","",raw!B52)</f>
        <v/>
      </c>
      <c r="F77" s="6" t="str">
        <f>IF(raw!C52="","",raw!C52)</f>
        <v/>
      </c>
      <c r="G77" s="6" t="str">
        <f>IF(raw!D52="","",raw!D52)</f>
        <v/>
      </c>
      <c r="H77" s="8" t="str">
        <f t="shared" si="8"/>
        <v/>
      </c>
      <c r="I77" s="8" t="str">
        <f t="shared" si="9"/>
        <v/>
      </c>
      <c r="J77" s="8" t="str">
        <f t="shared" si="10"/>
        <v/>
      </c>
      <c r="K77" s="8" t="str">
        <f t="shared" si="11"/>
        <v/>
      </c>
    </row>
    <row r="78" spans="1:11" x14ac:dyDescent="0.4">
      <c r="A78" s="6" t="str">
        <f>IF(raw!K53="","",raw!K53)</f>
        <v/>
      </c>
      <c r="B78" s="10" t="str">
        <f>IF(raw!M53="","",raw!M53)</f>
        <v/>
      </c>
      <c r="C78" s="6" t="str">
        <f>IF(raw!T53="","",raw!T53)</f>
        <v/>
      </c>
      <c r="D78" s="6" t="str">
        <f>IF(raw!A53="","",raw!A53)</f>
        <v/>
      </c>
      <c r="E78" s="6" t="str">
        <f>IF(raw!B53="","",raw!B53)</f>
        <v/>
      </c>
      <c r="F78" s="6" t="str">
        <f>IF(raw!C53="","",raw!C53)</f>
        <v/>
      </c>
      <c r="G78" s="6" t="str">
        <f>IF(raw!D53="","",raw!D53)</f>
        <v/>
      </c>
      <c r="H78" s="8" t="str">
        <f t="shared" si="8"/>
        <v/>
      </c>
      <c r="I78" s="8" t="str">
        <f t="shared" si="9"/>
        <v/>
      </c>
      <c r="J78" s="8" t="str">
        <f t="shared" si="10"/>
        <v/>
      </c>
      <c r="K78" s="8" t="str">
        <f t="shared" si="11"/>
        <v/>
      </c>
    </row>
    <row r="79" spans="1:11" x14ac:dyDescent="0.4">
      <c r="A79" s="6" t="str">
        <f>IF(raw!K54="","",raw!K54)</f>
        <v/>
      </c>
      <c r="B79" s="10" t="str">
        <f>IF(raw!M54="","",raw!M54)</f>
        <v/>
      </c>
      <c r="C79" s="6" t="str">
        <f>IF(raw!T54="","",raw!T54)</f>
        <v/>
      </c>
      <c r="D79" s="6" t="str">
        <f>IF(raw!A54="","",raw!A54)</f>
        <v/>
      </c>
      <c r="E79" s="6" t="str">
        <f>IF(raw!B54="","",raw!B54)</f>
        <v/>
      </c>
      <c r="F79" s="6" t="str">
        <f>IF(raw!C54="","",raw!C54)</f>
        <v/>
      </c>
      <c r="G79" s="6" t="str">
        <f>IF(raw!D54="","",raw!D54)</f>
        <v/>
      </c>
      <c r="H79" s="8" t="str">
        <f t="shared" si="8"/>
        <v/>
      </c>
      <c r="I79" s="8" t="str">
        <f t="shared" si="9"/>
        <v/>
      </c>
      <c r="J79" s="8" t="str">
        <f t="shared" si="10"/>
        <v/>
      </c>
      <c r="K79" s="8" t="str">
        <f t="shared" si="11"/>
        <v/>
      </c>
    </row>
    <row r="80" spans="1:11" x14ac:dyDescent="0.4">
      <c r="A80" s="6" t="str">
        <f>IF(raw!K55="","",raw!K55)</f>
        <v/>
      </c>
      <c r="B80" s="10" t="str">
        <f>IF(raw!M55="","",raw!M55)</f>
        <v/>
      </c>
      <c r="C80" s="6" t="str">
        <f>IF(raw!T55="","",raw!T55)</f>
        <v/>
      </c>
      <c r="D80" s="6" t="str">
        <f>IF(raw!A55="","",raw!A55)</f>
        <v/>
      </c>
      <c r="E80" s="6" t="str">
        <f>IF(raw!B55="","",raw!B55)</f>
        <v/>
      </c>
      <c r="F80" s="6" t="str">
        <f>IF(raw!C55="","",raw!C55)</f>
        <v/>
      </c>
      <c r="G80" s="6" t="str">
        <f>IF(raw!D55="","",raw!D55)</f>
        <v/>
      </c>
      <c r="H80" s="8" t="str">
        <f t="shared" si="8"/>
        <v/>
      </c>
      <c r="I80" s="8" t="str">
        <f t="shared" si="9"/>
        <v/>
      </c>
      <c r="J80" s="8" t="str">
        <f t="shared" si="10"/>
        <v/>
      </c>
      <c r="K80" s="8" t="str">
        <f t="shared" si="11"/>
        <v/>
      </c>
    </row>
    <row r="81" spans="1:11" x14ac:dyDescent="0.4">
      <c r="A81" s="6" t="str">
        <f>IF(raw!K56="","",raw!K56)</f>
        <v/>
      </c>
      <c r="B81" s="10" t="str">
        <f>IF(raw!M56="","",raw!M56)</f>
        <v/>
      </c>
      <c r="C81" s="6" t="str">
        <f>IF(raw!T56="","",raw!T56)</f>
        <v/>
      </c>
      <c r="D81" s="6" t="str">
        <f>IF(raw!A56="","",raw!A56)</f>
        <v/>
      </c>
      <c r="E81" s="6" t="str">
        <f>IF(raw!B56="","",raw!B56)</f>
        <v/>
      </c>
      <c r="F81" s="6" t="str">
        <f>IF(raw!C56="","",raw!C56)</f>
        <v/>
      </c>
      <c r="G81" s="6" t="str">
        <f>IF(raw!D56="","",raw!D56)</f>
        <v/>
      </c>
      <c r="H81" s="8" t="str">
        <f t="shared" si="8"/>
        <v/>
      </c>
      <c r="I81" s="8" t="str">
        <f t="shared" si="9"/>
        <v/>
      </c>
      <c r="J81" s="8" t="str">
        <f t="shared" si="10"/>
        <v/>
      </c>
      <c r="K81" s="8" t="str">
        <f t="shared" si="11"/>
        <v/>
      </c>
    </row>
    <row r="82" spans="1:11" x14ac:dyDescent="0.4">
      <c r="A82" s="6" t="str">
        <f>IF(raw!K57="","",raw!K57)</f>
        <v/>
      </c>
      <c r="B82" s="10" t="str">
        <f>IF(raw!M57="","",raw!M57)</f>
        <v/>
      </c>
      <c r="C82" s="6" t="str">
        <f>IF(raw!T57="","",raw!T57)</f>
        <v/>
      </c>
      <c r="D82" s="6" t="str">
        <f>IF(raw!A57="","",raw!A57)</f>
        <v/>
      </c>
      <c r="E82" s="6" t="str">
        <f>IF(raw!B57="","",raw!B57)</f>
        <v/>
      </c>
      <c r="F82" s="6" t="str">
        <f>IF(raw!C57="","",raw!C57)</f>
        <v/>
      </c>
      <c r="G82" s="6" t="str">
        <f>IF(raw!D57="","",raw!D57)</f>
        <v/>
      </c>
      <c r="H82" s="8" t="str">
        <f t="shared" si="8"/>
        <v/>
      </c>
      <c r="I82" s="8" t="str">
        <f t="shared" si="9"/>
        <v/>
      </c>
      <c r="J82" s="8" t="str">
        <f t="shared" si="10"/>
        <v/>
      </c>
      <c r="K82" s="8" t="str">
        <f t="shared" si="11"/>
        <v/>
      </c>
    </row>
    <row r="83" spans="1:11" x14ac:dyDescent="0.4">
      <c r="A83" s="6" t="str">
        <f>IF(raw!K58="","",raw!K58)</f>
        <v/>
      </c>
      <c r="B83" s="10" t="str">
        <f>IF(raw!M58="","",raw!M58)</f>
        <v/>
      </c>
      <c r="C83" s="6" t="str">
        <f>IF(raw!T58="","",raw!T58)</f>
        <v/>
      </c>
      <c r="D83" s="6" t="str">
        <f>IF(raw!A58="","",raw!A58)</f>
        <v/>
      </c>
      <c r="E83" s="6" t="str">
        <f>IF(raw!B58="","",raw!B58)</f>
        <v/>
      </c>
      <c r="F83" s="6" t="str">
        <f>IF(raw!C58="","",raw!C58)</f>
        <v/>
      </c>
      <c r="G83" s="6" t="str">
        <f>IF(raw!D58="","",raw!D58)</f>
        <v/>
      </c>
      <c r="H83" s="8" t="str">
        <f t="shared" si="8"/>
        <v/>
      </c>
      <c r="I83" s="8" t="str">
        <f t="shared" si="9"/>
        <v/>
      </c>
      <c r="J83" s="8" t="str">
        <f t="shared" si="10"/>
        <v/>
      </c>
      <c r="K83" s="8" t="str">
        <f t="shared" si="11"/>
        <v/>
      </c>
    </row>
    <row r="84" spans="1:11" x14ac:dyDescent="0.4">
      <c r="A84" s="6" t="str">
        <f>IF(raw!K59="","",raw!K59)</f>
        <v/>
      </c>
      <c r="B84" s="10" t="str">
        <f>IF(raw!M59="","",raw!M59)</f>
        <v/>
      </c>
      <c r="C84" s="6" t="str">
        <f>IF(raw!T59="","",raw!T59)</f>
        <v/>
      </c>
      <c r="D84" s="6" t="str">
        <f>IF(raw!A59="","",raw!A59)</f>
        <v/>
      </c>
      <c r="E84" s="6" t="str">
        <f>IF(raw!B59="","",raw!B59)</f>
        <v/>
      </c>
      <c r="F84" s="6" t="str">
        <f>IF(raw!C59="","",raw!C59)</f>
        <v/>
      </c>
      <c r="G84" s="6" t="str">
        <f>IF(raw!D59="","",raw!D59)</f>
        <v/>
      </c>
      <c r="H84" s="8" t="str">
        <f t="shared" si="8"/>
        <v/>
      </c>
      <c r="I84" s="8" t="str">
        <f t="shared" si="9"/>
        <v/>
      </c>
      <c r="J84" s="8" t="str">
        <f t="shared" si="10"/>
        <v/>
      </c>
      <c r="K84" s="8" t="str">
        <f t="shared" si="11"/>
        <v/>
      </c>
    </row>
    <row r="85" spans="1:11" x14ac:dyDescent="0.4">
      <c r="A85" s="6" t="str">
        <f>IF(raw!K60="","",raw!K60)</f>
        <v/>
      </c>
      <c r="B85" s="10" t="str">
        <f>IF(raw!M60="","",raw!M60)</f>
        <v/>
      </c>
      <c r="C85" s="6" t="str">
        <f>IF(raw!T60="","",raw!T60)</f>
        <v/>
      </c>
      <c r="D85" s="6" t="str">
        <f>IF(raw!A60="","",raw!A60)</f>
        <v/>
      </c>
      <c r="E85" s="6" t="str">
        <f>IF(raw!B60="","",raw!B60)</f>
        <v/>
      </c>
      <c r="F85" s="6" t="str">
        <f>IF(raw!C60="","",raw!C60)</f>
        <v/>
      </c>
      <c r="G85" s="6" t="str">
        <f>IF(raw!D60="","",raw!D60)</f>
        <v/>
      </c>
      <c r="H85" s="8" t="str">
        <f t="shared" si="8"/>
        <v/>
      </c>
      <c r="I85" s="8" t="str">
        <f t="shared" si="9"/>
        <v/>
      </c>
      <c r="J85" s="8" t="str">
        <f t="shared" si="10"/>
        <v/>
      </c>
      <c r="K85" s="8" t="str">
        <f t="shared" si="11"/>
        <v/>
      </c>
    </row>
    <row r="86" spans="1:11" x14ac:dyDescent="0.4">
      <c r="A86" s="6" t="str">
        <f>IF(raw!K61="","",raw!K61)</f>
        <v/>
      </c>
      <c r="B86" s="10" t="str">
        <f>IF(raw!M61="","",raw!M61)</f>
        <v/>
      </c>
      <c r="C86" s="6" t="str">
        <f>IF(raw!T61="","",raw!T61)</f>
        <v/>
      </c>
      <c r="D86" s="6" t="str">
        <f>IF(raw!A61="","",raw!A61)</f>
        <v/>
      </c>
      <c r="E86" s="6" t="str">
        <f>IF(raw!B61="","",raw!B61)</f>
        <v/>
      </c>
      <c r="F86" s="6" t="str">
        <f>IF(raw!C61="","",raw!C61)</f>
        <v/>
      </c>
      <c r="G86" s="6" t="str">
        <f>IF(raw!D61="","",raw!D61)</f>
        <v/>
      </c>
      <c r="H86" s="8" t="str">
        <f t="shared" si="8"/>
        <v/>
      </c>
      <c r="I86" s="8" t="str">
        <f t="shared" si="9"/>
        <v/>
      </c>
      <c r="J86" s="8" t="str">
        <f t="shared" si="10"/>
        <v/>
      </c>
      <c r="K86" s="8" t="str">
        <f t="shared" si="11"/>
        <v/>
      </c>
    </row>
    <row r="87" spans="1:11" x14ac:dyDescent="0.4">
      <c r="A87" s="6" t="str">
        <f>IF(raw!K62="","",raw!K62)</f>
        <v/>
      </c>
      <c r="B87" s="10" t="str">
        <f>IF(raw!M62="","",raw!M62)</f>
        <v/>
      </c>
      <c r="C87" s="6" t="str">
        <f>IF(raw!T62="","",raw!T62)</f>
        <v/>
      </c>
      <c r="D87" s="6" t="str">
        <f>IF(raw!A62="","",raw!A62)</f>
        <v/>
      </c>
      <c r="E87" s="6" t="str">
        <f>IF(raw!B62="","",raw!B62)</f>
        <v/>
      </c>
      <c r="F87" s="6" t="str">
        <f>IF(raw!C62="","",raw!C62)</f>
        <v/>
      </c>
      <c r="G87" s="6" t="str">
        <f>IF(raw!D62="","",raw!D62)</f>
        <v/>
      </c>
      <c r="H87" s="8" t="str">
        <f t="shared" si="8"/>
        <v/>
      </c>
      <c r="I87" s="8" t="str">
        <f t="shared" si="9"/>
        <v/>
      </c>
      <c r="J87" s="8" t="str">
        <f t="shared" si="10"/>
        <v/>
      </c>
      <c r="K87" s="8" t="str">
        <f t="shared" si="11"/>
        <v/>
      </c>
    </row>
    <row r="88" spans="1:11" x14ac:dyDescent="0.4">
      <c r="A88" s="6" t="str">
        <f>IF(raw!K63="","",raw!K63)</f>
        <v/>
      </c>
      <c r="B88" s="10" t="str">
        <f>IF(raw!M63="","",raw!M63)</f>
        <v/>
      </c>
      <c r="C88" s="6" t="str">
        <f>IF(raw!T63="","",raw!T63)</f>
        <v/>
      </c>
      <c r="D88" s="6" t="str">
        <f>IF(raw!A63="","",raw!A63)</f>
        <v/>
      </c>
      <c r="E88" s="6" t="str">
        <f>IF(raw!B63="","",raw!B63)</f>
        <v/>
      </c>
      <c r="F88" s="6" t="str">
        <f>IF(raw!C63="","",raw!C63)</f>
        <v/>
      </c>
      <c r="G88" s="6" t="str">
        <f>IF(raw!D63="","",raw!D63)</f>
        <v/>
      </c>
      <c r="H88" s="8" t="str">
        <f t="shared" si="8"/>
        <v/>
      </c>
      <c r="I88" s="8" t="str">
        <f t="shared" si="9"/>
        <v/>
      </c>
      <c r="J88" s="8" t="str">
        <f t="shared" si="10"/>
        <v/>
      </c>
      <c r="K88" s="8" t="str">
        <f t="shared" si="11"/>
        <v/>
      </c>
    </row>
    <row r="89" spans="1:11" x14ac:dyDescent="0.4">
      <c r="A89" s="6" t="str">
        <f>IF(raw!K64="","",raw!K64)</f>
        <v/>
      </c>
      <c r="B89" s="10" t="str">
        <f>IF(raw!M64="","",raw!M64)</f>
        <v/>
      </c>
      <c r="C89" s="6" t="str">
        <f>IF(raw!T64="","",raw!T64)</f>
        <v/>
      </c>
      <c r="D89" s="6" t="str">
        <f>IF(raw!A64="","",raw!A64)</f>
        <v/>
      </c>
      <c r="E89" s="6" t="str">
        <f>IF(raw!B64="","",raw!B64)</f>
        <v/>
      </c>
      <c r="F89" s="6" t="str">
        <f>IF(raw!C64="","",raw!C64)</f>
        <v/>
      </c>
      <c r="G89" s="6" t="str">
        <f>IF(raw!D64="","",raw!D64)</f>
        <v/>
      </c>
      <c r="H89" s="8" t="str">
        <f t="shared" si="8"/>
        <v/>
      </c>
      <c r="I89" s="8" t="str">
        <f t="shared" si="9"/>
        <v/>
      </c>
      <c r="J89" s="8" t="str">
        <f t="shared" si="10"/>
        <v/>
      </c>
      <c r="K89" s="8" t="str">
        <f t="shared" si="11"/>
        <v/>
      </c>
    </row>
    <row r="90" spans="1:11" x14ac:dyDescent="0.4">
      <c r="A90" s="6" t="str">
        <f>IF(raw!K65="","",raw!K65)</f>
        <v/>
      </c>
      <c r="B90" s="10" t="str">
        <f>IF(raw!M65="","",raw!M65)</f>
        <v/>
      </c>
      <c r="C90" s="6" t="str">
        <f>IF(raw!T65="","",raw!T65)</f>
        <v/>
      </c>
      <c r="D90" s="6" t="str">
        <f>IF(raw!A65="","",raw!A65)</f>
        <v/>
      </c>
      <c r="E90" s="6" t="str">
        <f>IF(raw!B65="","",raw!B65)</f>
        <v/>
      </c>
      <c r="F90" s="6" t="str">
        <f>IF(raw!C65="","",raw!C65)</f>
        <v/>
      </c>
      <c r="G90" s="6" t="str">
        <f>IF(raw!D65="","",raw!D65)</f>
        <v/>
      </c>
      <c r="H90" s="8" t="str">
        <f t="shared" si="8"/>
        <v/>
      </c>
      <c r="I90" s="8" t="str">
        <f t="shared" si="9"/>
        <v/>
      </c>
      <c r="J90" s="8" t="str">
        <f t="shared" si="10"/>
        <v/>
      </c>
      <c r="K90" s="8" t="str">
        <f t="shared" si="11"/>
        <v/>
      </c>
    </row>
    <row r="91" spans="1:11" x14ac:dyDescent="0.4">
      <c r="A91" s="6" t="str">
        <f>IF(raw!K66="","",raw!K66)</f>
        <v/>
      </c>
      <c r="B91" s="10" t="str">
        <f>IF(raw!M66="","",raw!M66)</f>
        <v/>
      </c>
      <c r="C91" s="6" t="str">
        <f>IF(raw!T66="","",raw!T66)</f>
        <v/>
      </c>
      <c r="D91" s="6" t="str">
        <f>IF(raw!A66="","",raw!A66)</f>
        <v/>
      </c>
      <c r="E91" s="6" t="str">
        <f>IF(raw!B66="","",raw!B66)</f>
        <v/>
      </c>
      <c r="F91" s="6" t="str">
        <f>IF(raw!C66="","",raw!C66)</f>
        <v/>
      </c>
      <c r="G91" s="6" t="str">
        <f>IF(raw!D66="","",raw!D66)</f>
        <v/>
      </c>
      <c r="H91" s="8" t="str">
        <f t="shared" si="8"/>
        <v/>
      </c>
      <c r="I91" s="8" t="str">
        <f t="shared" si="9"/>
        <v/>
      </c>
      <c r="J91" s="8" t="str">
        <f t="shared" si="10"/>
        <v/>
      </c>
      <c r="K91" s="8" t="str">
        <f t="shared" si="11"/>
        <v/>
      </c>
    </row>
    <row r="92" spans="1:11" x14ac:dyDescent="0.4">
      <c r="A92" s="6" t="str">
        <f>IF(raw!K67="","",raw!K67)</f>
        <v/>
      </c>
      <c r="B92" s="10" t="str">
        <f>IF(raw!M67="","",raw!M67)</f>
        <v/>
      </c>
      <c r="C92" s="6" t="str">
        <f>IF(raw!T67="","",raw!T67)</f>
        <v/>
      </c>
      <c r="D92" s="6" t="str">
        <f>IF(raw!A67="","",raw!A67)</f>
        <v/>
      </c>
      <c r="E92" s="6" t="str">
        <f>IF(raw!B67="","",raw!B67)</f>
        <v/>
      </c>
      <c r="F92" s="6" t="str">
        <f>IF(raw!C67="","",raw!C67)</f>
        <v/>
      </c>
      <c r="G92" s="6" t="str">
        <f>IF(raw!D67="","",raw!D67)</f>
        <v/>
      </c>
      <c r="H92" s="8" t="str">
        <f t="shared" si="8"/>
        <v/>
      </c>
      <c r="I92" s="8" t="str">
        <f t="shared" si="9"/>
        <v/>
      </c>
      <c r="J92" s="8" t="str">
        <f t="shared" si="10"/>
        <v/>
      </c>
      <c r="K92" s="8" t="str">
        <f t="shared" si="11"/>
        <v/>
      </c>
    </row>
    <row r="93" spans="1:11" x14ac:dyDescent="0.4">
      <c r="A93" s="6" t="str">
        <f>IF(raw!K68="","",raw!K68)</f>
        <v/>
      </c>
      <c r="B93" s="10" t="str">
        <f>IF(raw!M68="","",raw!M68)</f>
        <v/>
      </c>
      <c r="C93" s="6" t="str">
        <f>IF(raw!T68="","",raw!T68)</f>
        <v/>
      </c>
      <c r="D93" s="6" t="str">
        <f>IF(raw!A68="","",raw!A68)</f>
        <v/>
      </c>
      <c r="E93" s="6" t="str">
        <f>IF(raw!B68="","",raw!B68)</f>
        <v/>
      </c>
      <c r="F93" s="6" t="str">
        <f>IF(raw!C68="","",raw!C68)</f>
        <v/>
      </c>
      <c r="G93" s="6" t="str">
        <f>IF(raw!D68="","",raw!D68)</f>
        <v/>
      </c>
      <c r="H93" s="8" t="str">
        <f t="shared" si="8"/>
        <v/>
      </c>
      <c r="I93" s="8" t="str">
        <f t="shared" si="9"/>
        <v/>
      </c>
      <c r="J93" s="8" t="str">
        <f t="shared" si="10"/>
        <v/>
      </c>
      <c r="K93" s="8" t="str">
        <f t="shared" si="11"/>
        <v/>
      </c>
    </row>
    <row r="94" spans="1:11" x14ac:dyDescent="0.4">
      <c r="A94" s="6" t="str">
        <f>IF(raw!K69="","",raw!K69)</f>
        <v/>
      </c>
      <c r="B94" s="10" t="str">
        <f>IF(raw!M69="","",raw!M69)</f>
        <v/>
      </c>
      <c r="C94" s="6" t="str">
        <f>IF(raw!T69="","",raw!T69)</f>
        <v/>
      </c>
      <c r="D94" s="6" t="str">
        <f>IF(raw!A69="","",raw!A69)</f>
        <v/>
      </c>
      <c r="E94" s="6" t="str">
        <f>IF(raw!B69="","",raw!B69)</f>
        <v/>
      </c>
      <c r="F94" s="6" t="str">
        <f>IF(raw!C69="","",raw!C69)</f>
        <v/>
      </c>
      <c r="G94" s="6" t="str">
        <f>IF(raw!D69="","",raw!D69)</f>
        <v/>
      </c>
      <c r="H94" s="8" t="str">
        <f t="shared" si="8"/>
        <v/>
      </c>
      <c r="I94" s="8" t="str">
        <f t="shared" si="9"/>
        <v/>
      </c>
      <c r="J94" s="8" t="str">
        <f t="shared" si="10"/>
        <v/>
      </c>
      <c r="K94" s="8" t="str">
        <f t="shared" si="11"/>
        <v/>
      </c>
    </row>
    <row r="95" spans="1:11" x14ac:dyDescent="0.4">
      <c r="A95" s="6" t="str">
        <f>IF(raw!K70="","",raw!K70)</f>
        <v/>
      </c>
      <c r="B95" s="10" t="str">
        <f>IF(raw!M70="","",raw!M70)</f>
        <v/>
      </c>
      <c r="C95" s="6" t="str">
        <f>IF(raw!T70="","",raw!T70)</f>
        <v/>
      </c>
      <c r="D95" s="6" t="str">
        <f>IF(raw!A70="","",raw!A70)</f>
        <v/>
      </c>
      <c r="E95" s="6" t="str">
        <f>IF(raw!B70="","",raw!B70)</f>
        <v/>
      </c>
      <c r="F95" s="6" t="str">
        <f>IF(raw!C70="","",raw!C70)</f>
        <v/>
      </c>
      <c r="G95" s="6" t="str">
        <f>IF(raw!D70="","",raw!D70)</f>
        <v/>
      </c>
      <c r="H95" s="8" t="str">
        <f t="shared" si="8"/>
        <v/>
      </c>
      <c r="I95" s="8" t="str">
        <f t="shared" si="9"/>
        <v/>
      </c>
      <c r="J95" s="8" t="str">
        <f t="shared" si="10"/>
        <v/>
      </c>
      <c r="K95" s="8" t="str">
        <f t="shared" si="11"/>
        <v/>
      </c>
    </row>
    <row r="96" spans="1:11" x14ac:dyDescent="0.4">
      <c r="A96" s="6" t="str">
        <f>IF(raw!K71="","",raw!K71)</f>
        <v/>
      </c>
      <c r="B96" s="10" t="str">
        <f>IF(raw!M71="","",raw!M71)</f>
        <v/>
      </c>
      <c r="C96" s="6" t="str">
        <f>IF(raw!T71="","",raw!T71)</f>
        <v/>
      </c>
      <c r="D96" s="6" t="str">
        <f>IF(raw!A71="","",raw!A71)</f>
        <v/>
      </c>
      <c r="E96" s="6" t="str">
        <f>IF(raw!B71="","",raw!B71)</f>
        <v/>
      </c>
      <c r="F96" s="6" t="str">
        <f>IF(raw!C71="","",raw!C71)</f>
        <v/>
      </c>
      <c r="G96" s="6" t="str">
        <f>IF(raw!D71="","",raw!D71)</f>
        <v/>
      </c>
      <c r="H96" s="8" t="str">
        <f t="shared" si="8"/>
        <v/>
      </c>
      <c r="I96" s="8" t="str">
        <f t="shared" si="9"/>
        <v/>
      </c>
      <c r="J96" s="8" t="str">
        <f t="shared" si="10"/>
        <v/>
      </c>
      <c r="K96" s="8" t="str">
        <f t="shared" si="11"/>
        <v/>
      </c>
    </row>
    <row r="97" spans="1:11" x14ac:dyDescent="0.4">
      <c r="A97" s="6" t="str">
        <f>IF(raw!K72="","",raw!K72)</f>
        <v/>
      </c>
      <c r="B97" s="10" t="str">
        <f>IF(raw!M72="","",raw!M72)</f>
        <v/>
      </c>
      <c r="C97" s="6" t="str">
        <f>IF(raw!T72="","",raw!T72)</f>
        <v/>
      </c>
      <c r="D97" s="6" t="str">
        <f>IF(raw!A72="","",raw!A72)</f>
        <v/>
      </c>
      <c r="E97" s="6" t="str">
        <f>IF(raw!B72="","",raw!B72)</f>
        <v/>
      </c>
      <c r="F97" s="6" t="str">
        <f>IF(raw!C72="","",raw!C72)</f>
        <v/>
      </c>
      <c r="G97" s="6" t="str">
        <f>IF(raw!D72="","",raw!D72)</f>
        <v/>
      </c>
      <c r="H97" s="8" t="str">
        <f t="shared" si="8"/>
        <v/>
      </c>
      <c r="I97" s="8" t="str">
        <f t="shared" si="9"/>
        <v/>
      </c>
      <c r="J97" s="8" t="str">
        <f t="shared" si="10"/>
        <v/>
      </c>
      <c r="K97" s="8" t="str">
        <f t="shared" si="11"/>
        <v/>
      </c>
    </row>
    <row r="98" spans="1:11" x14ac:dyDescent="0.4">
      <c r="A98" s="6" t="str">
        <f>IF(raw!K73="","",raw!K73)</f>
        <v/>
      </c>
      <c r="B98" s="10" t="str">
        <f>IF(raw!M73="","",raw!M73)</f>
        <v/>
      </c>
      <c r="C98" s="6" t="str">
        <f>IF(raw!T73="","",raw!T73)</f>
        <v/>
      </c>
      <c r="D98" s="6" t="str">
        <f>IF(raw!A73="","",raw!A73)</f>
        <v/>
      </c>
      <c r="E98" s="6" t="str">
        <f>IF(raw!B73="","",raw!B73)</f>
        <v/>
      </c>
      <c r="F98" s="6" t="str">
        <f>IF(raw!C73="","",raw!C73)</f>
        <v/>
      </c>
      <c r="G98" s="6" t="str">
        <f>IF(raw!D73="","",raw!D73)</f>
        <v/>
      </c>
      <c r="H98" s="8" t="str">
        <f t="shared" ref="H98:H114" si="12">IF(B98="","",ROUND(B98/D98, 3)-1)</f>
        <v/>
      </c>
      <c r="I98" s="8" t="str">
        <f t="shared" ref="I98:I114" si="13">IF(D98="","",ROUND(D98/F98, 3)-1)</f>
        <v/>
      </c>
      <c r="J98" s="8" t="str">
        <f t="shared" ref="J98:J114" si="14">IF(C98="","",ROUND(C98/E98, 3)-1)</f>
        <v/>
      </c>
      <c r="K98" s="8" t="str">
        <f t="shared" ref="K98:K116" si="15">IF(E98="","",ROUND(E98/G98, 3)-1)</f>
        <v/>
      </c>
    </row>
    <row r="99" spans="1:11" x14ac:dyDescent="0.4">
      <c r="A99" s="6" t="str">
        <f>IF(raw!K74="","",raw!K74)</f>
        <v/>
      </c>
      <c r="B99" s="10" t="str">
        <f>IF(raw!M74="","",raw!M74)</f>
        <v/>
      </c>
      <c r="C99" s="6" t="str">
        <f>IF(raw!T74="","",raw!T74)</f>
        <v/>
      </c>
      <c r="D99" s="6" t="str">
        <f>IF(raw!A74="","",raw!A74)</f>
        <v/>
      </c>
      <c r="E99" s="6" t="str">
        <f>IF(raw!B74="","",raw!B74)</f>
        <v/>
      </c>
      <c r="F99" s="6" t="str">
        <f>IF(raw!C74="","",raw!C74)</f>
        <v/>
      </c>
      <c r="G99" s="6" t="str">
        <f>IF(raw!D74="","",raw!D74)</f>
        <v/>
      </c>
      <c r="H99" s="8" t="str">
        <f t="shared" si="12"/>
        <v/>
      </c>
      <c r="I99" s="8" t="str">
        <f t="shared" si="13"/>
        <v/>
      </c>
      <c r="J99" s="8" t="str">
        <f t="shared" si="14"/>
        <v/>
      </c>
      <c r="K99" s="8" t="str">
        <f t="shared" si="15"/>
        <v/>
      </c>
    </row>
    <row r="100" spans="1:11" x14ac:dyDescent="0.4">
      <c r="A100" s="6" t="str">
        <f>IF(raw!K75="","",raw!K75)</f>
        <v/>
      </c>
      <c r="B100" s="10" t="str">
        <f>IF(raw!M75="","",raw!M75)</f>
        <v/>
      </c>
      <c r="C100" s="6" t="str">
        <f>IF(raw!T75="","",raw!T75)</f>
        <v/>
      </c>
      <c r="D100" s="6" t="str">
        <f>IF(raw!A75="","",raw!A75)</f>
        <v/>
      </c>
      <c r="E100" s="6" t="str">
        <f>IF(raw!B75="","",raw!B75)</f>
        <v/>
      </c>
      <c r="F100" s="6" t="str">
        <f>IF(raw!C75="","",raw!C75)</f>
        <v/>
      </c>
      <c r="G100" s="6" t="str">
        <f>IF(raw!D75="","",raw!D75)</f>
        <v/>
      </c>
      <c r="H100" s="8" t="str">
        <f t="shared" si="12"/>
        <v/>
      </c>
      <c r="I100" s="8" t="str">
        <f t="shared" si="13"/>
        <v/>
      </c>
      <c r="J100" s="8" t="str">
        <f t="shared" si="14"/>
        <v/>
      </c>
      <c r="K100" s="8" t="str">
        <f t="shared" si="15"/>
        <v/>
      </c>
    </row>
    <row r="101" spans="1:11" x14ac:dyDescent="0.4">
      <c r="A101" s="6" t="str">
        <f>IF(raw!K76="","",raw!K76)</f>
        <v/>
      </c>
      <c r="B101" s="10" t="str">
        <f>IF(raw!M76="","",raw!M76)</f>
        <v/>
      </c>
      <c r="C101" s="6" t="str">
        <f>IF(raw!T76="","",raw!T76)</f>
        <v/>
      </c>
      <c r="D101" s="6" t="str">
        <f>IF(raw!A76="","",raw!A76)</f>
        <v/>
      </c>
      <c r="E101" s="6" t="str">
        <f>IF(raw!B76="","",raw!B76)</f>
        <v/>
      </c>
      <c r="F101" s="6" t="str">
        <f>IF(raw!C76="","",raw!C76)</f>
        <v/>
      </c>
      <c r="G101" s="6" t="str">
        <f>IF(raw!D76="","",raw!D76)</f>
        <v/>
      </c>
      <c r="H101" s="8" t="str">
        <f t="shared" si="12"/>
        <v/>
      </c>
      <c r="I101" s="8" t="str">
        <f t="shared" si="13"/>
        <v/>
      </c>
      <c r="J101" s="8" t="str">
        <f t="shared" si="14"/>
        <v/>
      </c>
      <c r="K101" s="8" t="str">
        <f t="shared" si="15"/>
        <v/>
      </c>
    </row>
    <row r="102" spans="1:11" x14ac:dyDescent="0.4">
      <c r="A102" s="6" t="str">
        <f>IF(raw!K77="","",raw!K77)</f>
        <v/>
      </c>
      <c r="B102" s="10" t="str">
        <f>IF(raw!M77="","",raw!M77)</f>
        <v/>
      </c>
      <c r="C102" s="6" t="str">
        <f>IF(raw!T77="","",raw!T77)</f>
        <v/>
      </c>
      <c r="D102" s="6" t="str">
        <f>IF(raw!A77="","",raw!A77)</f>
        <v/>
      </c>
      <c r="E102" s="6" t="str">
        <f>IF(raw!B77="","",raw!B77)</f>
        <v/>
      </c>
      <c r="F102" s="6" t="str">
        <f>IF(raw!C77="","",raw!C77)</f>
        <v/>
      </c>
      <c r="G102" s="6" t="str">
        <f>IF(raw!D77="","",raw!D77)</f>
        <v/>
      </c>
      <c r="H102" s="8" t="str">
        <f t="shared" si="12"/>
        <v/>
      </c>
      <c r="I102" s="8" t="str">
        <f t="shared" si="13"/>
        <v/>
      </c>
      <c r="J102" s="8" t="str">
        <f t="shared" si="14"/>
        <v/>
      </c>
      <c r="K102" s="8" t="str">
        <f t="shared" si="15"/>
        <v/>
      </c>
    </row>
    <row r="103" spans="1:11" x14ac:dyDescent="0.4">
      <c r="A103" s="6" t="str">
        <f>IF(raw!K78="","",raw!K78)</f>
        <v/>
      </c>
      <c r="B103" s="10" t="str">
        <f>IF(raw!M78="","",raw!M78)</f>
        <v/>
      </c>
      <c r="C103" s="6" t="str">
        <f>IF(raw!T78="","",raw!T78)</f>
        <v/>
      </c>
      <c r="D103" s="6" t="str">
        <f>IF(raw!A78="","",raw!A78)</f>
        <v/>
      </c>
      <c r="E103" s="6" t="str">
        <f>IF(raw!B78="","",raw!B78)</f>
        <v/>
      </c>
      <c r="F103" s="6" t="str">
        <f>IF(raw!C78="","",raw!C78)</f>
        <v/>
      </c>
      <c r="G103" s="6" t="str">
        <f>IF(raw!D78="","",raw!D78)</f>
        <v/>
      </c>
      <c r="H103" s="8" t="str">
        <f t="shared" si="12"/>
        <v/>
      </c>
      <c r="I103" s="8" t="str">
        <f t="shared" si="13"/>
        <v/>
      </c>
      <c r="J103" s="8" t="str">
        <f t="shared" si="14"/>
        <v/>
      </c>
      <c r="K103" s="8" t="str">
        <f t="shared" si="15"/>
        <v/>
      </c>
    </row>
    <row r="104" spans="1:11" x14ac:dyDescent="0.4">
      <c r="A104" s="6" t="str">
        <f>IF(raw!K79="","",raw!K79)</f>
        <v/>
      </c>
      <c r="B104" s="10" t="str">
        <f>IF(raw!M79="","",raw!M79)</f>
        <v/>
      </c>
      <c r="C104" s="6" t="str">
        <f>IF(raw!T79="","",raw!T79)</f>
        <v/>
      </c>
      <c r="D104" s="6" t="str">
        <f>IF(raw!A79="","",raw!A79)</f>
        <v/>
      </c>
      <c r="E104" s="6" t="str">
        <f>IF(raw!B79="","",raw!B79)</f>
        <v/>
      </c>
      <c r="F104" s="6" t="str">
        <f>IF(raw!C79="","",raw!C79)</f>
        <v/>
      </c>
      <c r="G104" s="6" t="str">
        <f>IF(raw!D79="","",raw!D79)</f>
        <v/>
      </c>
      <c r="H104" s="8" t="str">
        <f t="shared" si="12"/>
        <v/>
      </c>
      <c r="I104" s="8" t="str">
        <f t="shared" si="13"/>
        <v/>
      </c>
      <c r="J104" s="8" t="str">
        <f t="shared" si="14"/>
        <v/>
      </c>
      <c r="K104" s="8" t="str">
        <f t="shared" si="15"/>
        <v/>
      </c>
    </row>
    <row r="105" spans="1:11" x14ac:dyDescent="0.4">
      <c r="A105" s="6" t="str">
        <f>IF(raw!K80="","",raw!K80)</f>
        <v/>
      </c>
      <c r="B105" s="10" t="str">
        <f>IF(raw!M80="","",raw!M80)</f>
        <v/>
      </c>
      <c r="C105" s="6" t="str">
        <f>IF(raw!T80="","",raw!T80)</f>
        <v/>
      </c>
      <c r="D105" s="6" t="str">
        <f>IF(raw!A80="","",raw!A80)</f>
        <v/>
      </c>
      <c r="E105" s="6" t="str">
        <f>IF(raw!B80="","",raw!B80)</f>
        <v/>
      </c>
      <c r="F105" s="6" t="str">
        <f>IF(raw!C80="","",raw!C80)</f>
        <v/>
      </c>
      <c r="G105" s="6" t="str">
        <f>IF(raw!D80="","",raw!D80)</f>
        <v/>
      </c>
      <c r="H105" s="8" t="str">
        <f t="shared" si="12"/>
        <v/>
      </c>
      <c r="I105" s="8" t="str">
        <f t="shared" si="13"/>
        <v/>
      </c>
      <c r="J105" s="8" t="str">
        <f t="shared" si="14"/>
        <v/>
      </c>
      <c r="K105" s="8" t="str">
        <f t="shared" si="15"/>
        <v/>
      </c>
    </row>
    <row r="106" spans="1:11" x14ac:dyDescent="0.4">
      <c r="A106" s="6" t="str">
        <f>IF(raw!K81="","",raw!K81)</f>
        <v/>
      </c>
      <c r="B106" s="10" t="str">
        <f>IF(raw!M81="","",raw!M81)</f>
        <v/>
      </c>
      <c r="C106" s="6" t="str">
        <f>IF(raw!T81="","",raw!T81)</f>
        <v/>
      </c>
      <c r="D106" s="6" t="str">
        <f>IF(raw!A81="","",raw!A81)</f>
        <v/>
      </c>
      <c r="E106" s="6" t="str">
        <f>IF(raw!B81="","",raw!B81)</f>
        <v/>
      </c>
      <c r="F106" s="6" t="str">
        <f>IF(raw!C81="","",raw!C81)</f>
        <v/>
      </c>
      <c r="G106" s="6" t="str">
        <f>IF(raw!D81="","",raw!D81)</f>
        <v/>
      </c>
      <c r="H106" s="8" t="str">
        <f t="shared" si="12"/>
        <v/>
      </c>
      <c r="I106" s="8" t="str">
        <f t="shared" si="13"/>
        <v/>
      </c>
      <c r="J106" s="8" t="str">
        <f t="shared" si="14"/>
        <v/>
      </c>
      <c r="K106" s="8" t="str">
        <f t="shared" si="15"/>
        <v/>
      </c>
    </row>
    <row r="107" spans="1:11" x14ac:dyDescent="0.4">
      <c r="A107" s="6" t="str">
        <f>IF(raw!K82="","",raw!K82)</f>
        <v/>
      </c>
      <c r="B107" s="10" t="str">
        <f>IF(raw!M82="","",raw!M82)</f>
        <v/>
      </c>
      <c r="C107" s="6" t="str">
        <f>IF(raw!T82="","",raw!T82)</f>
        <v/>
      </c>
      <c r="D107" s="6" t="str">
        <f>IF(raw!A82="","",raw!A82)</f>
        <v/>
      </c>
      <c r="E107" s="6" t="str">
        <f>IF(raw!B82="","",raw!B82)</f>
        <v/>
      </c>
      <c r="F107" s="6" t="str">
        <f>IF(raw!C82="","",raw!C82)</f>
        <v/>
      </c>
      <c r="G107" s="6" t="str">
        <f>IF(raw!D82="","",raw!D82)</f>
        <v/>
      </c>
      <c r="H107" s="8" t="str">
        <f t="shared" si="12"/>
        <v/>
      </c>
      <c r="I107" s="8" t="str">
        <f t="shared" si="13"/>
        <v/>
      </c>
      <c r="J107" s="8" t="str">
        <f t="shared" si="14"/>
        <v/>
      </c>
      <c r="K107" s="8" t="str">
        <f t="shared" si="15"/>
        <v/>
      </c>
    </row>
    <row r="108" spans="1:11" x14ac:dyDescent="0.4">
      <c r="A108" s="6" t="str">
        <f>IF(raw!K83="","",raw!K83)</f>
        <v/>
      </c>
      <c r="B108" s="10" t="str">
        <f>IF(raw!M83="","",raw!M83)</f>
        <v/>
      </c>
      <c r="C108" s="6" t="str">
        <f>IF(raw!T83="","",raw!T83)</f>
        <v/>
      </c>
      <c r="D108" s="6" t="str">
        <f>IF(raw!A83="","",raw!A83)</f>
        <v/>
      </c>
      <c r="E108" s="6" t="str">
        <f>IF(raw!B83="","",raw!B83)</f>
        <v/>
      </c>
      <c r="F108" s="6" t="str">
        <f>IF(raw!C83="","",raw!C83)</f>
        <v/>
      </c>
      <c r="G108" s="6" t="str">
        <f>IF(raw!D83="","",raw!D83)</f>
        <v/>
      </c>
      <c r="H108" s="8" t="str">
        <f t="shared" si="12"/>
        <v/>
      </c>
      <c r="I108" s="8" t="str">
        <f t="shared" si="13"/>
        <v/>
      </c>
      <c r="J108" s="8" t="str">
        <f t="shared" si="14"/>
        <v/>
      </c>
      <c r="K108" s="8" t="str">
        <f t="shared" si="15"/>
        <v/>
      </c>
    </row>
    <row r="109" spans="1:11" x14ac:dyDescent="0.4">
      <c r="A109" s="6" t="str">
        <f>IF(raw!K84="","",raw!K84)</f>
        <v/>
      </c>
      <c r="B109" s="10" t="str">
        <f>IF(raw!M84="","",raw!M84)</f>
        <v/>
      </c>
      <c r="C109" s="6" t="str">
        <f>IF(raw!T84="","",raw!T84)</f>
        <v/>
      </c>
      <c r="D109" s="6" t="str">
        <f>IF(raw!A84="","",raw!A84)</f>
        <v/>
      </c>
      <c r="E109" s="6" t="str">
        <f>IF(raw!B84="","",raw!B84)</f>
        <v/>
      </c>
      <c r="F109" s="6" t="str">
        <f>IF(raw!C84="","",raw!C84)</f>
        <v/>
      </c>
      <c r="G109" s="6" t="str">
        <f>IF(raw!D84="","",raw!D84)</f>
        <v/>
      </c>
      <c r="H109" s="8" t="str">
        <f t="shared" si="12"/>
        <v/>
      </c>
      <c r="I109" s="8" t="str">
        <f t="shared" si="13"/>
        <v/>
      </c>
      <c r="J109" s="8" t="str">
        <f t="shared" si="14"/>
        <v/>
      </c>
      <c r="K109" s="8" t="str">
        <f t="shared" si="15"/>
        <v/>
      </c>
    </row>
    <row r="110" spans="1:11" x14ac:dyDescent="0.4">
      <c r="A110" s="6" t="str">
        <f>IF(raw!K85="","",raw!K85)</f>
        <v/>
      </c>
      <c r="B110" s="10" t="str">
        <f>IF(raw!M85="","",raw!M85)</f>
        <v/>
      </c>
      <c r="C110" s="6" t="str">
        <f>IF(raw!T85="","",raw!T85)</f>
        <v/>
      </c>
      <c r="D110" s="6" t="str">
        <f>IF(raw!A85="","",raw!A85)</f>
        <v/>
      </c>
      <c r="E110" s="6" t="str">
        <f>IF(raw!B85="","",raw!B85)</f>
        <v/>
      </c>
      <c r="F110" s="6" t="str">
        <f>IF(raw!C85="","",raw!C85)</f>
        <v/>
      </c>
      <c r="G110" s="6" t="str">
        <f>IF(raw!D85="","",raw!D85)</f>
        <v/>
      </c>
      <c r="H110" s="8" t="str">
        <f t="shared" si="12"/>
        <v/>
      </c>
      <c r="I110" s="8" t="str">
        <f t="shared" si="13"/>
        <v/>
      </c>
      <c r="J110" s="8" t="str">
        <f t="shared" si="14"/>
        <v/>
      </c>
      <c r="K110" s="8" t="str">
        <f t="shared" si="15"/>
        <v/>
      </c>
    </row>
    <row r="111" spans="1:11" x14ac:dyDescent="0.4">
      <c r="A111" s="6" t="str">
        <f>IF(raw!K86="","",raw!K86)</f>
        <v/>
      </c>
      <c r="B111" s="10" t="str">
        <f>IF(raw!M86="","",raw!M86)</f>
        <v/>
      </c>
      <c r="C111" s="6" t="str">
        <f>IF(raw!T86="","",raw!T86)</f>
        <v/>
      </c>
      <c r="D111" s="6" t="str">
        <f>IF(raw!A86="","",raw!A86)</f>
        <v/>
      </c>
      <c r="E111" s="6" t="str">
        <f>IF(raw!B86="","",raw!B86)</f>
        <v/>
      </c>
      <c r="F111" s="6" t="str">
        <f>IF(raw!C86="","",raw!C86)</f>
        <v/>
      </c>
      <c r="G111" s="6" t="str">
        <f>IF(raw!D86="","",raw!D86)</f>
        <v/>
      </c>
      <c r="H111" s="8" t="str">
        <f t="shared" si="12"/>
        <v/>
      </c>
      <c r="I111" s="8" t="str">
        <f t="shared" si="13"/>
        <v/>
      </c>
      <c r="J111" s="8" t="str">
        <f t="shared" si="14"/>
        <v/>
      </c>
      <c r="K111" s="8" t="str">
        <f t="shared" si="15"/>
        <v/>
      </c>
    </row>
    <row r="112" spans="1:11" x14ac:dyDescent="0.4">
      <c r="A112" s="6" t="str">
        <f>IF(raw!K87="","",raw!K87)</f>
        <v/>
      </c>
      <c r="B112" s="10" t="str">
        <f>IF(raw!M87="","",raw!M87)</f>
        <v/>
      </c>
      <c r="C112" s="6" t="str">
        <f>IF(raw!T87="","",raw!T87)</f>
        <v/>
      </c>
      <c r="D112" s="6" t="str">
        <f>IF(raw!A87="","",raw!A87)</f>
        <v/>
      </c>
      <c r="E112" s="6" t="str">
        <f>IF(raw!B87="","",raw!B87)</f>
        <v/>
      </c>
      <c r="F112" s="6" t="str">
        <f>IF(raw!C87="","",raw!C87)</f>
        <v/>
      </c>
      <c r="G112" s="6" t="str">
        <f>IF(raw!D87="","",raw!D87)</f>
        <v/>
      </c>
      <c r="H112" s="8" t="str">
        <f t="shared" si="12"/>
        <v/>
      </c>
      <c r="I112" s="8" t="str">
        <f t="shared" si="13"/>
        <v/>
      </c>
      <c r="J112" s="8" t="str">
        <f t="shared" si="14"/>
        <v/>
      </c>
      <c r="K112" s="8" t="str">
        <f t="shared" si="15"/>
        <v/>
      </c>
    </row>
    <row r="113" spans="1:11" x14ac:dyDescent="0.4">
      <c r="A113" s="6" t="str">
        <f>IF(raw!K88="","",raw!K88)</f>
        <v/>
      </c>
      <c r="B113" s="10" t="str">
        <f>IF(raw!M88="","",raw!M88)</f>
        <v/>
      </c>
      <c r="C113" s="6" t="str">
        <f>IF(raw!T88="","",raw!T88)</f>
        <v/>
      </c>
      <c r="D113" s="6" t="str">
        <f>IF(raw!A88="","",raw!A88)</f>
        <v/>
      </c>
      <c r="E113" s="6" t="str">
        <f>IF(raw!B88="","",raw!B88)</f>
        <v/>
      </c>
      <c r="F113" s="6" t="str">
        <f>IF(raw!C88="","",raw!C88)</f>
        <v/>
      </c>
      <c r="G113" s="6" t="str">
        <f>IF(raw!D88="","",raw!D88)</f>
        <v/>
      </c>
      <c r="H113" s="8" t="str">
        <f t="shared" si="12"/>
        <v/>
      </c>
      <c r="I113" s="8" t="str">
        <f t="shared" si="13"/>
        <v/>
      </c>
      <c r="J113" s="8" t="str">
        <f t="shared" si="14"/>
        <v/>
      </c>
      <c r="K113" s="8" t="str">
        <f t="shared" si="15"/>
        <v/>
      </c>
    </row>
    <row r="114" spans="1:11" x14ac:dyDescent="0.4">
      <c r="A114" s="6" t="str">
        <f>IF(raw!K89="","",raw!K89)</f>
        <v/>
      </c>
      <c r="B114" s="10" t="str">
        <f>IF(raw!M89="","",raw!M89)</f>
        <v/>
      </c>
      <c r="C114" s="6" t="str">
        <f>IF(raw!T89="","",raw!T89)</f>
        <v/>
      </c>
      <c r="D114" s="6" t="str">
        <f>IF(raw!A89="","",raw!A89)</f>
        <v/>
      </c>
      <c r="E114" s="6" t="str">
        <f>IF(raw!B89="","",raw!B89)</f>
        <v/>
      </c>
      <c r="F114" s="6" t="str">
        <f>IF(raw!C89="","",raw!C89)</f>
        <v/>
      </c>
      <c r="G114" s="6" t="str">
        <f>IF(raw!D89="","",raw!D89)</f>
        <v/>
      </c>
      <c r="H114" s="8" t="str">
        <f t="shared" si="12"/>
        <v/>
      </c>
      <c r="I114" s="8" t="str">
        <f t="shared" si="13"/>
        <v/>
      </c>
      <c r="J114" s="8" t="str">
        <f t="shared" si="14"/>
        <v/>
      </c>
      <c r="K114" s="8" t="str">
        <f t="shared" si="15"/>
        <v/>
      </c>
    </row>
    <row r="115" spans="1:11" x14ac:dyDescent="0.4">
      <c r="A115" s="6" t="str">
        <f>IF(raw!K112="","",raw!K112)</f>
        <v/>
      </c>
      <c r="F115" s="6" t="str">
        <f>IF(raw!C112="","",raw!C112)</f>
        <v/>
      </c>
      <c r="K115" s="8" t="str">
        <f t="shared" si="15"/>
        <v/>
      </c>
    </row>
    <row r="116" spans="1:11" x14ac:dyDescent="0.4">
      <c r="A116" s="6" t="str">
        <f>IF(raw!K113="","",raw!K113)</f>
        <v/>
      </c>
      <c r="F116" s="6" t="str">
        <f>IF(raw!C113="","",raw!C113)</f>
        <v/>
      </c>
      <c r="K116" s="8" t="str">
        <f t="shared" si="15"/>
        <v/>
      </c>
    </row>
    <row r="117" spans="1:11" x14ac:dyDescent="0.4">
      <c r="A117" s="6" t="str">
        <f>IF(raw!K114="","",raw!K114)</f>
        <v/>
      </c>
    </row>
    <row r="118" spans="1:11" x14ac:dyDescent="0.4">
      <c r="A118" s="6" t="str">
        <f>IF(raw!K115="","",raw!K115)</f>
        <v/>
      </c>
    </row>
    <row r="119" spans="1:11" x14ac:dyDescent="0.4">
      <c r="A119" s="6" t="str">
        <f>IF(raw!K116="","",raw!K116)</f>
        <v/>
      </c>
    </row>
    <row r="120" spans="1:11" x14ac:dyDescent="0.4">
      <c r="A120" s="6" t="str">
        <f>IF(raw!K117="","",raw!K117)</f>
        <v/>
      </c>
    </row>
    <row r="121" spans="1:11" x14ac:dyDescent="0.4">
      <c r="A121" s="6" t="str">
        <f>IF(raw!K118="","",raw!K118)</f>
        <v/>
      </c>
    </row>
    <row r="122" spans="1:11" x14ac:dyDescent="0.4">
      <c r="A122" s="6" t="str">
        <f>IF(raw!K119="","",raw!K119)</f>
        <v/>
      </c>
    </row>
    <row r="123" spans="1:11" x14ac:dyDescent="0.4">
      <c r="A123" s="6" t="str">
        <f>IF(raw!K120="","",raw!K120)</f>
        <v/>
      </c>
    </row>
    <row r="124" spans="1:11" x14ac:dyDescent="0.4">
      <c r="A124" s="6" t="str">
        <f>IF(raw!K121="","",raw!K121)</f>
        <v/>
      </c>
    </row>
  </sheetData>
  <phoneticPr fontId="1"/>
  <conditionalFormatting sqref="H1:K1048576">
    <cfRule type="colorScale" priority="5">
      <colorScale>
        <cfvo type="min"/>
        <cfvo type="max"/>
        <color rgb="FFFCFCFF"/>
        <color rgb="FFF8696B"/>
      </colorScale>
    </cfRule>
  </conditionalFormatting>
  <conditionalFormatting sqref="H1:H1048576">
    <cfRule type="colorScale" priority="4">
      <colorScale>
        <cfvo type="min"/>
        <cfvo type="max"/>
        <color rgb="FFFCFCFF"/>
        <color rgb="FFF8696B"/>
      </colorScale>
    </cfRule>
  </conditionalFormatting>
  <conditionalFormatting sqref="I1:I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J1:J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raw</vt:lpstr>
      <vt:lpstr>total</vt:lpstr>
      <vt:lpstr>profitability</vt:lpstr>
      <vt:lpstr>growth</vt:lpstr>
      <vt:lpstr>raw!closing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中路紘平</dc:creator>
  <cp:lastModifiedBy>中路紘平</cp:lastModifiedBy>
  <dcterms:created xsi:type="dcterms:W3CDTF">2016-04-18T03:38:51Z</dcterms:created>
  <dcterms:modified xsi:type="dcterms:W3CDTF">2016-04-18T06:24:40Z</dcterms:modified>
</cp:coreProperties>
</file>